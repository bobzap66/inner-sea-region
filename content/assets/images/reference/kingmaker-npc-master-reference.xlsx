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3f4720f69146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PC Index" sheetId="1" r:id="R5614e081f9784e04"/>
    <x:sheet xmlns:r="http://schemas.openxmlformats.org/officeDocument/2006/relationships" name="Summary &amp; Legend" sheetId="2" r:id="Rd884a9aa55814c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8"/>
      <x:color rgb="FFF7E7C6"/>
      <x:name val="Carlito"/>
    </x:font>
    <x:font>
      <x:i/>
      <x:sz val="10"/>
      <x:color rgb="FF4A2F1B"/>
      <x:name val="Carlito"/>
    </x:font>
    <x:font>
      <x:b/>
      <x:sz val="11"/>
      <x:color rgb="FFFFFFFF"/>
      <x:name val="Carlito"/>
    </x:font>
    <x:font>
      <x:sz val="9"/>
      <x:color rgb="FF1155C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4A2F1B"/>
      </x:patternFill>
    </x:fill>
    <x:fill>
      <x:patternFill patternType="solid">
        <x:fgColor rgb="FFEAD9B7"/>
      </x:patternFill>
    </x:fill>
    <x:fill>
      <x:patternFill patternType="solid">
        <x:fgColor rgb="FF7B4F2C"/>
      </x:patternFill>
    </x:fill>
    <x:fill>
      <x:patternFill patternType="solid">
        <x:fgColor rgb="FF7B4F2C"/>
      </x:patternFill>
    </x:fill>
  </x:fills>
  <x:borders count="5">
    <x:border/>
    <x:border>
      <x:bottom style="thin">
        <x:color rgb="FFD8C9B3"/>
      </x:bottom>
    </x:border>
    <x:border>
      <x:top style="thin">
        <x:color rgb="FFD8C9B3"/>
      </x:top>
      <x:bottom style="thin">
        <x:color rgb="FFD8C9B3"/>
      </x:bottom>
    </x:border>
    <x:border>
      <x:top style="thin">
        <x:color rgb="FFD8C9B3"/>
      </x:top>
      <x:bottom style="thin">
        <x:color rgb="FFA67C52"/>
      </x:bottom>
    </x:border>
    <x:border>
      <x:top style="thin">
        <x:color rgb="FFD8C9B3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top"/>
    </x:xf>
    <x:xf numFmtId="0" fontId="4" fillId="0" borderId="2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3" fillId="4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top"/>
    </x:xf>
    <x:xf numFmtId="0" fontId="3" fillId="5" borderId="1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</x:cellXfs>
  <x:cellStyles count="1">
    <x:cellStyle name="Normal" xfId="0"/>
  </x:cellStyles>
  <x:dxfs count="9">
    <x:dxf>
      <x:font>
        <x:b/>
        <x:color rgb="FF8B0000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color rgb="FF783F04"/>
      </x:font>
      <x:fill>
        <x:patternFill>
          <x:bgColor rgb="FFFCE5CD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83F04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fe1c451f934b2b" /><Relationship Type="http://schemas.openxmlformats.org/officeDocument/2006/relationships/theme" Target="/xl/theme/theme1.xml" Id="R6619cbf4420e4c71" /><Relationship Type="http://schemas.openxmlformats.org/officeDocument/2006/relationships/sharedStrings" Target="/xl/sharedStrings.xml" Id="R6f6b7554b21246b2" /><Relationship Type="http://schemas.openxmlformats.org/officeDocument/2006/relationships/worksheet" Target="/xl/worksheets/sheet1.xml" Id="R5614e081f9784e04" /><Relationship Type="http://schemas.openxmlformats.org/officeDocument/2006/relationships/worksheet" Target="/xl/worksheets/sheet2.xml" Id="Rd884a9aa55814c23" /></Relationships>
</file>

<file path=xl/tables/table1.xml><?xml version="1.0" encoding="utf-8"?>
<x:table xmlns:x="http://schemas.openxmlformats.org/spreadsheetml/2006/main" id="1" name="NpcMasterTable" displayName="NpcMasterTable" ref="A4:O118" headerRowCount="1" totalsRowCount="0" totalsRowShown="0">
  <x:autoFilter ref="A4:O118"/>
  <x:tableColumns count="15">
    <x:tableColumn id="1" name="Name"/>
    <x:tableColumn id="2" name="Status"/>
    <x:tableColumn id="3" name="Deceased?"/>
    <x:tableColumn id="4" name="World Anvil Article?"/>
    <x:tableColumn id="5" name="World Anvil URL"/>
    <x:tableColumn id="6" name="Primary Location"/>
    <x:tableColumn id="7" name="Role / Affiliation"/>
    <x:tableColumn id="8" name="Origin / Provenance"/>
    <x:tableColumn id="9" name="Local Source(s)"/>
    <x:tableColumn id="10" name="Notes"/>
    <x:tableColumn id="11" name="World Anvil Last Updated"/>
    <x:tableColumn id="12" name="Next Review Due"/>
    <x:tableColumn id="13" name="Review Status"/>
    <x:tableColumn id="14" name="Artwork?"/>
    <x:tableColumn id="15" name="Artwork 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f295b12aff46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2" hidden="0" customWidth="1"/>
    <x:col min="4" max="4" width="18" hidden="0" customWidth="1"/>
    <x:col min="5" max="5" width="82" hidden="0" customWidth="1"/>
    <x:col min="6" max="6" width="24" hidden="0" customWidth="1"/>
    <x:col min="7" max="7" width="34" hidden="0" customWidth="1"/>
    <x:col min="8" max="8" width="31" hidden="0" customWidth="1"/>
    <x:col min="9" max="9" width="40" hidden="0" customWidth="1"/>
    <x:col min="10" max="10" width="48" hidden="0" customWidth="1"/>
    <x:col min="11" max="11" width="22" hidden="0" customWidth="1"/>
    <x:col min="12" max="12" width="19" hidden="0" customWidth="1"/>
    <x:col min="13" max="13" width="17" hidden="0" customWidth="1"/>
    <x:col min="14" max="14" width="12" hidden="0" customWidth="1"/>
    <x:col min="15" max="15" width="65" hidden="0" customWidth="1"/>
  </x:cols>
  <x:sheetData>
    <x:row r="1" ht="30" customHeight="1">
      <x:c r="A1" s="4" t="str">
        <x:v>KINGMAKER NPC MASTER REFERENCE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42" customHeight="1">
      <x:c r="A2" s="8" t="str">
        <x:v>World Anvil NPC articles and named NPCs introduced or developed in local campaign articles. Statuses are campaign status as last confirmed; Unknown means the reviewed record did not establish a fate.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>
      <x:c r="A4" s="16" t="str">
        <x:v>Name</x:v>
      </x:c>
      <x:c r="B4" s="16" t="str">
        <x:v>Status</x:v>
      </x:c>
      <x:c r="C4" s="16" t="str">
        <x:v>Deceased?</x:v>
      </x:c>
      <x:c r="D4" s="16" t="str">
        <x:v>World Anvil Article?</x:v>
      </x:c>
      <x:c r="E4" s="16" t="str">
        <x:v>World Anvil URL</x:v>
      </x:c>
      <x:c r="F4" s="16" t="str">
        <x:v>Primary Location</x:v>
      </x:c>
      <x:c r="G4" s="16" t="str">
        <x:v>Role / Affiliation</x:v>
      </x:c>
      <x:c r="H4" s="16" t="str">
        <x:v>Origin / Provenance</x:v>
      </x:c>
      <x:c r="I4" s="16" t="str">
        <x:v>Local Source(s)</x:v>
      </x:c>
      <x:c r="J4" s="16" t="str">
        <x:v>Notes</x:v>
      </x:c>
      <x:c r="K4" s="37" t="str">
        <x:v>World Anvil Last Updated</x:v>
      </x:c>
      <x:c r="L4" s="37" t="str">
        <x:v>Next Review Due</x:v>
      </x:c>
      <x:c r="M4" s="37" t="str">
        <x:v>Review Status</x:v>
      </x:c>
      <x:c r="N4" s="37" t="str">
        <x:v>Artwork?</x:v>
      </x:c>
      <x:c r="O4" s="37" t="str">
        <x:v>Artwork File</x:v>
      </x:c>
    </x:row>
    <x:row r="5">
      <x:c r="A5" s="17" t="str">
        <x:v>Akiros Insmort</x:v>
      </x:c>
      <x:c r="B5" s="17" t="str">
        <x:v>Alive</x:v>
      </x:c>
      <x:c r="C5" s="17" t="str">
        <x:v>No</x:v>
      </x:c>
      <x:c r="D5" s="17" t="str">
        <x:v>Yes</x:v>
      </x:c>
      <x:c r="E5" s="18" t="str">
        <x:v>https://www.worldanvil.com/w/inner-sea-region-bobzap66/a/akiros-insmort-person</x:v>
      </x:c>
      <x:c r="F5" s="17" t="str">
        <x:v>Greenbelt / Republic</x:v>
      </x:c>
      <x:c r="G5" s="19" t="str">
        <x:v>Former Stag Lord lieutenant; redeemed ally</x:v>
      </x:c>
      <x:c r="H5" s="19" t="str">
        <x:v>Paizo / campaign</x:v>
      </x:c>
      <x:c r="I5" s="19" t="str">
        <x:v>World Anvil NPC article; campaign notes</x:v>
      </x:c>
      <x:c r="J5" s="19" t="str">
        <x:v>Last known alive.</x:v>
      </x:c>
      <x:c r="K5" s="38" t="n">
        <x:v>46006.708333333336</x:v>
      </x:c>
      <x:c r="L5" s="38" t="n">
        <x:f>IF(OR(D5&lt;&gt;"Yes",K5=""),"",K5+365)</x:f>
        <x:v>46371.708333333336</x:v>
      </x:c>
      <x:c r="M5" s="17" t="str">
        <x:f>IF(D5&lt;&gt;"Yes","N/A",IF(K5="","Date missing",IF(TODAY()&gt;=L5,"Review due",IF(TODAY()+90&gt;=L5,"Review soon","Current"))))</x:f>
        <x:v>Current</x:v>
      </x:c>
      <x:c r="N5" s="17" t="str">
        <x:v>No</x:v>
      </x:c>
      <x:c r="O5" s="19" t="str"/>
    </x:row>
    <x:row r="6">
      <x:c r="A6" s="17" t="str">
        <x:v>Ameon Trask</x:v>
      </x:c>
      <x:c r="B6" s="17" t="str">
        <x:v>Dead</x:v>
      </x:c>
      <x:c r="C6" s="17" t="str">
        <x:v>Yes</x:v>
      </x:c>
      <x:c r="D6" s="17" t="str">
        <x:v>Yes</x:v>
      </x:c>
      <x:c r="E6" s="18" t="str">
        <x:v>https://www.worldanvil.com/w/inner-sea-region-bobzap66/a/ameon-trask-person</x:v>
      </x:c>
      <x:c r="F6" s="17" t="str">
        <x:v>Fort Drelev</x:v>
      </x:c>
      <x:c r="G6" s="19" t="str">
        <x:v>Commander of Drelev's invading army</x:v>
      </x:c>
      <x:c r="H6" s="19" t="str">
        <x:v>Paizo / campaign</x:v>
      </x:c>
      <x:c r="I6" s="19" t="str">
        <x:v>Session 43 Summary; Guildhall of the Joined Hands Article</x:v>
      </x:c>
      <x:c r="J6" s="19" t="str">
        <x:v>Killed with Hannis Drelev in the banquet hall.</x:v>
      </x:c>
      <x:c r="K6" s="38" t="n">
        <x:v>46246.666666666664</x:v>
      </x:c>
      <x:c r="L6" s="38" t="n">
        <x:f>IF(OR(D6&lt;&gt;"Yes",K6=""),"",K6+365)</x:f>
        <x:v>46611.666666666664</x:v>
      </x:c>
      <x:c r="M6" s="17" t="str">
        <x:f>IF(D6&lt;&gt;"Yes","N/A",IF(K6="","Date missing",IF(TODAY()&gt;=L6,"Review due",IF(TODAY()+90&gt;=L6,"Review soon","Current"))))</x:f>
        <x:v>Current</x:v>
      </x:c>
      <x:c r="N6" s="17" t="str">
        <x:v>No</x:v>
      </x:c>
      <x:c r="O6" s="19" t="str"/>
    </x:row>
    <x:row r="7">
      <x:c r="A7" s="17" t="str">
        <x:v>Amiri</x:v>
      </x:c>
      <x:c r="B7" s="17" t="str">
        <x:v>Alive</x:v>
      </x:c>
      <x:c r="C7" s="17" t="str">
        <x:v>No</x:v>
      </x:c>
      <x:c r="D7" s="17" t="str">
        <x:v>Yes</x:v>
      </x:c>
      <x:c r="E7" s="18" t="str">
        <x:v>https://www.worldanvil.com/w/inner-sea-region-bobzap66/a/amiri-person</x:v>
      </x:c>
      <x:c r="F7" s="17" t="str">
        <x:v>Tiger Lords / western marches</x:v>
      </x:c>
      <x:c r="G7" s="19" t="str">
        <x:v>Barbarian; leader among surviving Tiger Lords</x:v>
      </x:c>
      <x:c r="H7" s="19" t="str">
        <x:v>Paizo / campaign</x:v>
      </x:c>
      <x:c r="I7" s="19" t="str">
        <x:v>World Anvil NPC article; Thumping Waters Article</x:v>
      </x:c>
      <x:c r="J7" s="19" t="str">
        <x:v>Last known alive.</x:v>
      </x:c>
      <x:c r="K7" s="38" t="n">
        <x:v>46001.708333333336</x:v>
      </x:c>
      <x:c r="L7" s="38" t="n">
        <x:f>IF(OR(D7&lt;&gt;"Yes",K7=""),"",K7+365)</x:f>
        <x:v>46366.708333333336</x:v>
      </x:c>
      <x:c r="M7" s="17" t="str">
        <x:f>IF(D7&lt;&gt;"Yes","N/A",IF(K7="","Date missing",IF(TODAY()&gt;=L7,"Review due",IF(TODAY()+90&gt;=L7,"Review soon","Current"))))</x:f>
        <x:v>Current</x:v>
      </x:c>
      <x:c r="N7" s="17" t="str">
        <x:v>No</x:v>
      </x:c>
      <x:c r="O7" s="19" t="str"/>
    </x:row>
    <x:row r="8">
      <x:c r="A8" s="17" t="str">
        <x:v>Anika Sorn</x:v>
      </x:c>
      <x:c r="B8" s="17" t="str">
        <x:v>Alive</x:v>
      </x:c>
      <x:c r="C8" s="17" t="str">
        <x:v>No</x:v>
      </x:c>
      <x:c r="D8" s="17" t="str">
        <x:v>No</x:v>
      </x:c>
      <x:c r="E8" s="18" t="str"/>
      <x:c r="F8" s="17" t="str">
        <x:v>Thumpington</x:v>
      </x:c>
      <x:c r="G8" s="19" t="str">
        <x:v>Lecturer in Forestry and Material Supply</x:v>
      </x:c>
      <x:c r="H8" s="19" t="str">
        <x:v>Locally created</x:v>
      </x:c>
      <x:c r="I8" s="19" t="str">
        <x:v>Free University / Lantern and Ledger articles</x:v>
      </x:c>
      <x:c r="J8" s="19" t="str"/>
      <x:c r="K8" s="38"/>
      <x:c r="L8" s="38" t="str">
        <x:f>IF(OR(D8&lt;&gt;"Yes",K8=""),"",K8+365)</x:f>
      </x:c>
      <x:c r="M8" s="17" t="str">
        <x:f>IF(D8&lt;&gt;"Yes","N/A",IF(K8="","Date missing",IF(TODAY()&gt;=L8,"Review due",IF(TODAY()+90&gt;=L8,"Review soon","Current"))))</x:f>
        <x:v>N/A</x:v>
      </x:c>
      <x:c r="N8" s="17" t="str">
        <x:v>No</x:v>
      </x:c>
      <x:c r="O8" s="19" t="str"/>
    </x:row>
    <x:row r="9">
      <x:c r="A9" s="17" t="str">
        <x:v>Annamede Belavara</x:v>
      </x:c>
      <x:c r="B9" s="17" t="str">
        <x:v>Alive</x:v>
      </x:c>
      <x:c r="C9" s="17" t="str">
        <x:v>No</x:v>
      </x:c>
      <x:c r="D9" s="17" t="str">
        <x:v>No</x:v>
      </x:c>
      <x:c r="E9" s="18" t="str"/>
      <x:c r="F9" s="17" t="str">
        <x:v>Pitax</x:v>
      </x:c>
      <x:c r="G9" s="19" t="str">
        <x:v>First Speaker in the postwar government</x:v>
      </x:c>
      <x:c r="H9" s="19" t="str">
        <x:v>Paizo Companion Guide / campaign</x:v>
      </x:c>
      <x:c r="I9" s="19" t="str">
        <x:v>Pitax Article</x:v>
      </x:c>
      <x:c r="J9" s="19" t="str">
        <x:v>Dedicated World Anvil person article not found in NPC category.</x:v>
      </x:c>
      <x:c r="K9" s="38"/>
      <x:c r="L9" s="38" t="str">
        <x:f>IF(OR(D9&lt;&gt;"Yes",K9=""),"",K9+365)</x:f>
      </x:c>
      <x:c r="M9" s="17" t="str">
        <x:f>IF(D9&lt;&gt;"Yes","N/A",IF(K9="","Date missing",IF(TODAY()&gt;=L9,"Review due",IF(TODAY()+90&gt;=L9,"Review soon","Current"))))</x:f>
        <x:v>N/A</x:v>
      </x:c>
      <x:c r="N9" s="17" t="str">
        <x:v>No</x:v>
      </x:c>
      <x:c r="O9" s="19" t="str"/>
    </x:row>
    <x:row r="10">
      <x:c r="A10" s="17" t="str">
        <x:v>Armag the Twice-Born</x:v>
      </x:c>
      <x:c r="B10" s="17" t="str">
        <x:v>Dead</x:v>
      </x:c>
      <x:c r="C10" s="17" t="str">
        <x:v>Yes</x:v>
      </x:c>
      <x:c r="D10" s="17" t="str">
        <x:v>Yes</x:v>
      </x:c>
      <x:c r="E10" s="18" t="str">
        <x:v>https://www.worldanvil.com/w/inner-sea-region-bobzap66/a/armag-the-twice-born-person</x:v>
      </x:c>
      <x:c r="F10" s="17" t="str">
        <x:v>Tiger Lords / Armag's Tomb</x:v>
      </x:c>
      <x:c r="G10" s="19" t="str">
        <x:v>Tiger Lord warlord</x:v>
      </x:c>
      <x:c r="H10" s="19" t="str">
        <x:v>Paizo / campaign</x:v>
      </x:c>
      <x:c r="I10" s="19" t="str">
        <x:v>Session 45–46 Summaries; Ovinrbaane Article</x:v>
      </x:c>
      <x:c r="J10" s="19" t="str">
        <x:v>Killed in Armag's Tomb.</x:v>
      </x:c>
      <x:c r="K10" s="38" t="n">
        <x:v>46005.708333333336</x:v>
      </x:c>
      <x:c r="L10" s="38" t="n">
        <x:f>IF(OR(D10&lt;&gt;"Yes",K10=""),"",K10+365)</x:f>
        <x:v>46370.708333333336</x:v>
      </x:c>
      <x:c r="M10" s="17" t="str">
        <x:f>IF(D10&lt;&gt;"Yes","N/A",IF(K10="","Date missing",IF(TODAY()&gt;=L10,"Review due",IF(TODAY()+90&gt;=L10,"Review soon","Current"))))</x:f>
        <x:v>Current</x:v>
      </x:c>
      <x:c r="N10" s="17" t="str">
        <x:v>No</x:v>
      </x:c>
      <x:c r="O10" s="19" t="str"/>
    </x:row>
    <x:row r="11">
      <x:c r="A11" s="17" t="str">
        <x:v>Asmeranda Ilata</x:v>
      </x:c>
      <x:c r="B11" s="17" t="str">
        <x:v>Alive</x:v>
      </x:c>
      <x:c r="C11" s="17" t="str">
        <x:v>No</x:v>
      </x:c>
      <x:c r="D11" s="17" t="str">
        <x:v>No</x:v>
      </x:c>
      <x:c r="E11" s="18" t="str"/>
      <x:c r="F11" s="17" t="str">
        <x:v>Pitax</x:v>
      </x:c>
      <x:c r="G11" s="19" t="str">
        <x:v>Figure of the Red Crescent Theatre</x:v>
      </x:c>
      <x:c r="H11" s="19" t="str">
        <x:v>Paizo Companion Guide / campaign</x:v>
      </x:c>
      <x:c r="I11" s="19" t="str">
        <x:v>Pitax Article; Session 56 Restricted Sidebar</x:v>
      </x:c>
      <x:c r="J11" s="19" t="str">
        <x:v>Recovered during the liberation of Pitax.</x:v>
      </x:c>
      <x:c r="K11" s="38"/>
      <x:c r="L11" s="38" t="str">
        <x:f>IF(OR(D11&lt;&gt;"Yes",K11=""),"",K11+365)</x:f>
      </x:c>
      <x:c r="M11" s="17" t="str">
        <x:f>IF(D11&lt;&gt;"Yes","N/A",IF(K11="","Date missing",IF(TODAY()&gt;=L11,"Review due",IF(TODAY()+90&gt;=L11,"Review soon","Current"))))</x:f>
        <x:v>N/A</x:v>
      </x:c>
      <x:c r="N11" s="17" t="str">
        <x:v>No</x:v>
      </x:c>
      <x:c r="O11" s="19" t="str"/>
    </x:row>
    <x:row r="12">
      <x:c r="A12" s="17" t="str">
        <x:v>Atalia Gitaren</x:v>
      </x:c>
      <x:c r="B12" s="17" t="str">
        <x:v>Alive</x:v>
      </x:c>
      <x:c r="C12" s="17" t="str">
        <x:v>No</x:v>
      </x:c>
      <x:c r="D12" s="17" t="str">
        <x:v>No</x:v>
      </x:c>
      <x:c r="E12" s="18" t="str"/>
      <x:c r="F12" s="17" t="str">
        <x:v>Pitax</x:v>
      </x:c>
      <x:c r="G12" s="19" t="str">
        <x:v>Headmistress, Academy of the Arts</x:v>
      </x:c>
      <x:c r="H12" s="19" t="str">
        <x:v>Paizo Companion Guide / campaign</x:v>
      </x:c>
      <x:c r="I12" s="19" t="str">
        <x:v>Pitax Article</x:v>
      </x:c>
      <x:c r="J12" s="19" t="str"/>
      <x:c r="K12" s="38"/>
      <x:c r="L12" s="38" t="str">
        <x:f>IF(OR(D12&lt;&gt;"Yes",K12=""),"",K12+365)</x:f>
      </x:c>
      <x:c r="M12" s="17" t="str">
        <x:f>IF(D12&lt;&gt;"Yes","N/A",IF(K12="","Date missing",IF(TODAY()&gt;=L12,"Review due",IF(TODAY()+90&gt;=L12,"Review soon","Current"))))</x:f>
        <x:v>N/A</x:v>
      </x:c>
      <x:c r="N12" s="17" t="str">
        <x:v>No</x:v>
      </x:c>
      <x:c r="O12" s="19" t="str"/>
    </x:row>
    <x:row r="13">
      <x:c r="A13" s="17" t="str">
        <x:v>Atlee Quinge</x:v>
      </x:c>
      <x:c r="B13" s="17" t="str">
        <x:v>Alive</x:v>
      </x:c>
      <x:c r="C13" s="17" t="str">
        <x:v>No</x:v>
      </x:c>
      <x:c r="D13" s="17" t="str">
        <x:v>No</x:v>
      </x:c>
      <x:c r="E13" s="18" t="str"/>
      <x:c r="F13" s="17" t="str">
        <x:v>Pitax</x:v>
      </x:c>
      <x:c r="G13" s="19" t="str">
        <x:v>Civic portfolio: Arts and Education</x:v>
      </x:c>
      <x:c r="H13" s="19" t="str">
        <x:v>Paizo Companion Guide / campaign</x:v>
      </x:c>
      <x:c r="I13" s="19" t="str">
        <x:v>Pitax Article</x:v>
      </x:c>
      <x:c r="J13" s="19" t="str"/>
      <x:c r="K13" s="38"/>
      <x:c r="L13" s="38" t="str">
        <x:f>IF(OR(D13&lt;&gt;"Yes",K13=""),"",K13+365)</x:f>
      </x:c>
      <x:c r="M13" s="17" t="str">
        <x:f>IF(D13&lt;&gt;"Yes","N/A",IF(K13="","Date missing",IF(TODAY()&gt;=L13,"Review due",IF(TODAY()+90&gt;=L13,"Review soon","Current"))))</x:f>
        <x:v>N/A</x:v>
      </x:c>
      <x:c r="N13" s="17" t="str">
        <x:v>No</x:v>
      </x:c>
      <x:c r="O13" s="19" t="str"/>
    </x:row>
    <x:row r="14">
      <x:c r="A14" s="17" t="str">
        <x:v>Auchs</x:v>
      </x:c>
      <x:c r="B14" s="17" t="str">
        <x:v>Unknown</x:v>
      </x:c>
      <x:c r="C14" s="17" t="str">
        <x:v>Unknown</x:v>
      </x:c>
      <x:c r="D14" s="17" t="str">
        <x:v>Yes</x:v>
      </x:c>
      <x:c r="E14" s="18" t="str">
        <x:v>https://www.worldanvil.com/w/inner-sea-region-bobzap66/a/auchs-person</x:v>
      </x:c>
      <x:c r="F14" s="17" t="str">
        <x:v>Stag Lord's Fort</x:v>
      </x:c>
      <x:c r="G14" s="19" t="str">
        <x:v>Stag Lord lieutenant</x:v>
      </x:c>
      <x:c r="H14" s="19" t="str">
        <x:v>Paizo / campaign</x:v>
      </x:c>
      <x:c r="I14" s="19" t="str">
        <x:v>World Anvil NPC article</x:v>
      </x:c>
      <x:c r="J14" s="19" t="str">
        <x:v>Current campaign fate not confirmed in reviewed notes.</x:v>
      </x:c>
      <x:c r="K14" s="38" t="n">
        <x:v>45919.666666666664</x:v>
      </x:c>
      <x:c r="L14" s="38" t="n">
        <x:f>IF(OR(D14&lt;&gt;"Yes",K14=""),"",K14+365)</x:f>
        <x:v>46284.666666666664</x:v>
      </x:c>
      <x:c r="M14" s="17" t="str">
        <x:f>IF(D14&lt;&gt;"Yes","N/A",IF(K14="","Date missing",IF(TODAY()&gt;=L14,"Review due",IF(TODAY()+90&gt;=L14,"Review soon","Current"))))</x:f>
        <x:v>Review soon</x:v>
      </x:c>
      <x:c r="N14" s="17" t="str">
        <x:v>No</x:v>
      </x:c>
      <x:c r="O14" s="19" t="str"/>
    </x:row>
    <x:row r="15">
      <x:c r="A15" s="17" t="str">
        <x:v>Bokken</x:v>
      </x:c>
      <x:c r="B15" s="17" t="str">
        <x:v>Alive</x:v>
      </x:c>
      <x:c r="C15" s="17" t="str">
        <x:v>No</x:v>
      </x:c>
      <x:c r="D15" s="17" t="str">
        <x:v>Yes</x:v>
      </x:c>
      <x:c r="E15" s="18" t="str">
        <x:v>https://www.worldanvil.com/w/inner-sea-region-bobzap66/a/bokken-person</x:v>
      </x:c>
      <x:c r="F15" s="17" t="str">
        <x:v>Greenbelt</x:v>
      </x:c>
      <x:c r="G15" s="19" t="str">
        <x:v>Hermit and alchemist</x:v>
      </x:c>
      <x:c r="H15" s="19" t="str">
        <x:v>Paizo / campaign</x:v>
      </x:c>
      <x:c r="I15" s="19" t="str">
        <x:v>World Anvil NPC article</x:v>
      </x:c>
      <x:c r="J15" s="19" t="str">
        <x:v>Last known alive.</x:v>
      </x:c>
      <x:c r="K15" s="38" t="n">
        <x:v>45919.666666666664</x:v>
      </x:c>
      <x:c r="L15" s="38" t="n">
        <x:f>IF(OR(D15&lt;&gt;"Yes",K15=""),"",K15+365)</x:f>
        <x:v>46284.666666666664</x:v>
      </x:c>
      <x:c r="M15" s="17" t="str">
        <x:f>IF(D15&lt;&gt;"Yes","N/A",IF(K15="","Date missing",IF(TODAY()&gt;=L15,"Review due",IF(TODAY()+90&gt;=L15,"Review soon","Current"))))</x:f>
        <x:v>Review soon</x:v>
      </x:c>
      <x:c r="N15" s="17" t="str">
        <x:v>No</x:v>
      </x:c>
      <x:c r="O15" s="19" t="str"/>
    </x:row>
    <x:row r="16">
      <x:c r="A16" s="17" t="str">
        <x:v>Brother Corren Voss</x:v>
      </x:c>
      <x:c r="B16" s="17" t="str">
        <x:v>Alive</x:v>
      </x:c>
      <x:c r="C16" s="17" t="str">
        <x:v>No</x:v>
      </x:c>
      <x:c r="D16" s="17" t="str">
        <x:v>No</x:v>
      </x:c>
      <x:c r="E16" s="18" t="str"/>
      <x:c r="F16" s="17" t="str">
        <x:v>Thumpington</x:v>
      </x:c>
      <x:c r="G16" s="19" t="str">
        <x:v>Healer, Tristian's Dawn</x:v>
      </x:c>
      <x:c r="H16" s="19" t="str">
        <x:v>Locally created</x:v>
      </x:c>
      <x:c r="I16" s="19" t="str">
        <x:v>Tristian's Dawn Article</x:v>
      </x:c>
      <x:c r="J16" s="19" t="str"/>
      <x:c r="K16" s="38"/>
      <x:c r="L16" s="38" t="str">
        <x:f>IF(OR(D16&lt;&gt;"Yes",K16=""),"",K16+365)</x:f>
      </x:c>
      <x:c r="M16" s="17" t="str">
        <x:f>IF(D16&lt;&gt;"Yes","N/A",IF(K16="","Date missing",IF(TODAY()&gt;=L16,"Review due",IF(TODAY()+90&gt;=L16,"Review soon","Current"))))</x:f>
        <x:v>N/A</x:v>
      </x:c>
      <x:c r="N16" s="17" t="str">
        <x:v>No</x:v>
      </x:c>
      <x:c r="O16" s="19" t="str"/>
    </x:row>
    <x:row r="17">
      <x:c r="A17" s="17" t="str">
        <x:v>Chief Sootscale</x:v>
      </x:c>
      <x:c r="B17" s="17" t="str">
        <x:v>Retired (alive)</x:v>
      </x:c>
      <x:c r="C17" s="17" t="str">
        <x:v>No</x:v>
      </x:c>
      <x:c r="D17" s="17" t="str">
        <x:v>Yes</x:v>
      </x:c>
      <x:c r="E17" s="18" t="str">
        <x:v>https://www.worldanvil.com/w/inner-sea-region-bobzap66/a/chief-sootscale-person</x:v>
      </x:c>
      <x:c r="F17" s="17" t="str">
        <x:v>Sootscale Valley</x:v>
      </x:c>
      <x:c r="G17" s="19" t="str">
        <x:v>Retired chief of the Sootscale kobolds</x:v>
      </x:c>
      <x:c r="H17" s="19" t="str">
        <x:v>Paizo / campaign</x:v>
      </x:c>
      <x:c r="I17" s="19" t="str">
        <x:v>World Anvil NPC article; Velka's Riverside Shrine Article</x:v>
      </x:c>
      <x:c r="J17" s="19" t="str">
        <x:v>Retired; succeeded by Kereek.</x:v>
      </x:c>
      <x:c r="K17" s="38" t="n">
        <x:v>46230.666666666664</x:v>
      </x:c>
      <x:c r="L17" s="38" t="n">
        <x:f>IF(OR(D17&lt;&gt;"Yes",K17=""),"",K17+365)</x:f>
        <x:v>46595.666666666664</x:v>
      </x:c>
      <x:c r="M17" s="17" t="str">
        <x:f>IF(D17&lt;&gt;"Yes","N/A",IF(K17="","Date missing",IF(TODAY()&gt;=L17,"Review due",IF(TODAY()+90&gt;=L17,"Review soon","Current"))))</x:f>
        <x:v>Current</x:v>
      </x:c>
      <x:c r="N17" s="17" t="str">
        <x:v>No</x:v>
      </x:c>
      <x:c r="O17" s="19" t="str"/>
    </x:row>
    <x:row r="18">
      <x:c r="A18" s="17" t="str">
        <x:v>Darya Holt</x:v>
      </x:c>
      <x:c r="B18" s="17" t="str">
        <x:v>Alive</x:v>
      </x:c>
      <x:c r="C18" s="17" t="str">
        <x:v>No</x:v>
      </x:c>
      <x:c r="D18" s="17" t="str">
        <x:v>No</x:v>
      </x:c>
      <x:c r="E18" s="18" t="str"/>
      <x:c r="F18" s="17" t="str">
        <x:v>Thumpington / traveling</x:v>
      </x:c>
      <x:c r="G18" s="19" t="str">
        <x:v>Traveling correspondent, Lantern and Ledger</x:v>
      </x:c>
      <x:c r="H18" s="19" t="str">
        <x:v>Locally created</x:v>
      </x:c>
      <x:c r="I18" s="19" t="str">
        <x:v>Lantern and Ledger Article</x:v>
      </x:c>
      <x:c r="J18" s="19" t="str"/>
      <x:c r="K18" s="38"/>
      <x:c r="L18" s="38" t="str">
        <x:f>IF(OR(D18&lt;&gt;"Yes",K18=""),"",K18+365)</x:f>
      </x:c>
      <x:c r="M18" s="17" t="str">
        <x:f>IF(D18&lt;&gt;"Yes","N/A",IF(K18="","Date missing",IF(TODAY()&gt;=L18,"Review due",IF(TODAY()+90&gt;=L18,"Review soon","Current"))))</x:f>
        <x:v>N/A</x:v>
      </x:c>
      <x:c r="N18" s="17" t="str">
        <x:v>No</x:v>
      </x:c>
      <x:c r="O18" s="19" t="str"/>
    </x:row>
    <x:row r="19">
      <x:c r="A19" s="17" t="str">
        <x:v>Daska Broadbough</x:v>
      </x:c>
      <x:c r="B19" s="17" t="str">
        <x:v>Alive</x:v>
      </x:c>
      <x:c r="C19" s="17" t="str">
        <x:v>No</x:v>
      </x:c>
      <x:c r="D19" s="17" t="str">
        <x:v>No</x:v>
      </x:c>
      <x:c r="E19" s="18" t="str"/>
      <x:c r="F19" s="17" t="str">
        <x:v>Fort Serenko</x:v>
      </x:c>
      <x:c r="G19" s="19" t="str">
        <x:v>River Boss, Fort Serenko Lumberworks</x:v>
      </x:c>
      <x:c r="H19" s="19" t="str">
        <x:v>Locally created</x:v>
      </x:c>
      <x:c r="I19" s="19" t="str">
        <x:v>Fort Serenko Lumberworks Article</x:v>
      </x:c>
      <x:c r="J19" s="19" t="str"/>
      <x:c r="K19" s="38"/>
      <x:c r="L19" s="38" t="str">
        <x:f>IF(OR(D19&lt;&gt;"Yes",K19=""),"",K19+365)</x:f>
      </x:c>
      <x:c r="M19" s="17" t="str">
        <x:f>IF(D19&lt;&gt;"Yes","N/A",IF(K19="","Date missing",IF(TODAY()&gt;=L19,"Review due",IF(TODAY()+90&gt;=L19,"Review soon","Current"))))</x:f>
        <x:v>N/A</x:v>
      </x:c>
      <x:c r="N19" s="17" t="str">
        <x:v>No</x:v>
      </x:c>
      <x:c r="O19" s="19" t="str"/>
    </x:row>
    <x:row r="20">
      <x:c r="A20" s="17" t="str">
        <x:v>Dawnblade Kalessa Marr</x:v>
      </x:c>
      <x:c r="B20" s="17" t="str">
        <x:v>Alive</x:v>
      </x:c>
      <x:c r="C20" s="17" t="str">
        <x:v>No</x:v>
      </x:c>
      <x:c r="D20" s="17" t="str">
        <x:v>No</x:v>
      </x:c>
      <x:c r="E20" s="18" t="str"/>
      <x:c r="F20" s="17" t="str">
        <x:v>Thumpington</x:v>
      </x:c>
      <x:c r="G20" s="19" t="str">
        <x:v>Temple of First Light staff</x:v>
      </x:c>
      <x:c r="H20" s="19" t="str">
        <x:v>Locally created</x:v>
      </x:c>
      <x:c r="I20" s="19" t="str">
        <x:v>Temple of First Light Article</x:v>
      </x:c>
      <x:c r="J20" s="19" t="str"/>
      <x:c r="K20" s="38"/>
      <x:c r="L20" s="38" t="str">
        <x:f>IF(OR(D20&lt;&gt;"Yes",K20=""),"",K20+365)</x:f>
      </x:c>
      <x:c r="M20" s="17" t="str">
        <x:f>IF(D20&lt;&gt;"Yes","N/A",IF(K20="","Date missing",IF(TODAY()&gt;=L20,"Review due",IF(TODAY()+90&gt;=L20,"Review soon","Current"))))</x:f>
        <x:v>N/A</x:v>
      </x:c>
      <x:c r="N20" s="17" t="str">
        <x:v>No</x:v>
      </x:c>
      <x:c r="O20" s="19" t="str"/>
    </x:row>
    <x:row r="21">
      <x:c r="A21" s="17" t="str">
        <x:v>Dawnwarden Amaya Qadir</x:v>
      </x:c>
      <x:c r="B21" s="17" t="str">
        <x:v>Alive</x:v>
      </x:c>
      <x:c r="C21" s="17" t="str">
        <x:v>No</x:v>
      </x:c>
      <x:c r="D21" s="17" t="str">
        <x:v>No</x:v>
      </x:c>
      <x:c r="E21" s="18" t="str"/>
      <x:c r="F21" s="17" t="str">
        <x:v>Thumpington</x:v>
      </x:c>
      <x:c r="G21" s="19" t="str">
        <x:v>Director, Tristian's Dawn orphanage</x:v>
      </x:c>
      <x:c r="H21" s="19" t="str">
        <x:v>Locally created</x:v>
      </x:c>
      <x:c r="I21" s="19" t="str">
        <x:v>Tristian's Dawn Article</x:v>
      </x:c>
      <x:c r="J21" s="19" t="str"/>
      <x:c r="K21" s="38"/>
      <x:c r="L21" s="38" t="str">
        <x:f>IF(OR(D21&lt;&gt;"Yes",K21=""),"",K21+365)</x:f>
      </x:c>
      <x:c r="M21" s="17" t="str">
        <x:f>IF(D21&lt;&gt;"Yes","N/A",IF(K21="","Date missing",IF(TODAY()&gt;=L21,"Review due",IF(TODAY()+90&gt;=L21,"Review soon","Current"))))</x:f>
        <x:v>N/A</x:v>
      </x:c>
      <x:c r="N21" s="17" t="str">
        <x:v>No</x:v>
      </x:c>
      <x:c r="O21" s="19" t="str"/>
    </x:row>
    <x:row r="22">
      <x:c r="A22" s="17" t="str">
        <x:v>Dorrin Oakgear</x:v>
      </x:c>
      <x:c r="B22" s="17" t="str">
        <x:v>Alive</x:v>
      </x:c>
      <x:c r="C22" s="17" t="str">
        <x:v>No</x:v>
      </x:c>
      <x:c r="D22" s="17" t="str">
        <x:v>No</x:v>
      </x:c>
      <x:c r="E22" s="18" t="str"/>
      <x:c r="F22" s="17" t="str">
        <x:v>Olegton</x:v>
      </x:c>
      <x:c r="G22" s="19" t="str">
        <x:v>Millwright, Levet's Mill</x:v>
      </x:c>
      <x:c r="H22" s="19" t="str">
        <x:v>Locally created</x:v>
      </x:c>
      <x:c r="I22" s="19" t="str">
        <x:v>Levet's Mill Article</x:v>
      </x:c>
      <x:c r="J22" s="19" t="str"/>
      <x:c r="K22" s="38"/>
      <x:c r="L22" s="38" t="str">
        <x:f>IF(OR(D22&lt;&gt;"Yes",K22=""),"",K22+365)</x:f>
      </x:c>
      <x:c r="M22" s="17" t="str">
        <x:f>IF(D22&lt;&gt;"Yes","N/A",IF(K22="","Date missing",IF(TODAY()&gt;=L22,"Review due",IF(TODAY()+90&gt;=L22,"Review soon","Current"))))</x:f>
        <x:v>N/A</x:v>
      </x:c>
      <x:c r="N22" s="17" t="str">
        <x:v>No</x:v>
      </x:c>
      <x:c r="O22" s="19" t="str"/>
    </x:row>
    <x:row r="23">
      <x:c r="A23" s="17" t="str">
        <x:v>Drey Yarness</x:v>
      </x:c>
      <x:c r="B23" s="17" t="str">
        <x:v>Alive</x:v>
      </x:c>
      <x:c r="C23" s="17" t="str">
        <x:v>No</x:v>
      </x:c>
      <x:c r="D23" s="17" t="str">
        <x:v>No</x:v>
      </x:c>
      <x:c r="E23" s="18" t="str"/>
      <x:c r="F23" s="17" t="str">
        <x:v>Pitax</x:v>
      </x:c>
      <x:c r="G23" s="19" t="str">
        <x:v>Civic portfolio: Law and Redress</x:v>
      </x:c>
      <x:c r="H23" s="19" t="str">
        <x:v>Paizo Companion Guide / campaign</x:v>
      </x:c>
      <x:c r="I23" s="19" t="str">
        <x:v>Pitax Article</x:v>
      </x:c>
      <x:c r="J23" s="19" t="str"/>
      <x:c r="K23" s="38"/>
      <x:c r="L23" s="38" t="str">
        <x:f>IF(OR(D23&lt;&gt;"Yes",K23=""),"",K23+365)</x:f>
      </x:c>
      <x:c r="M23" s="17" t="str">
        <x:f>IF(D23&lt;&gt;"Yes","N/A",IF(K23="","Date missing",IF(TODAY()&gt;=L23,"Review due",IF(TODAY()+90&gt;=L23,"Review soon","Current"))))</x:f>
        <x:v>N/A</x:v>
      </x:c>
      <x:c r="N23" s="17" t="str">
        <x:v>No</x:v>
      </x:c>
      <x:c r="O23" s="19" t="str"/>
    </x:row>
    <x:row r="24">
      <x:c r="A24" s="17" t="str">
        <x:v>Durnan Stoutbeard</x:v>
      </x:c>
      <x:c r="B24" s="17" t="str">
        <x:v>Alive</x:v>
      </x:c>
      <x:c r="C24" s="17" t="str">
        <x:v>No</x:v>
      </x:c>
      <x:c r="D24" s="17" t="str">
        <x:v>No</x:v>
      </x:c>
      <x:c r="E24" s="18" t="str"/>
      <x:c r="F24" s="17" t="str">
        <x:v>Varnhold</x:v>
      </x:c>
      <x:c r="G24" s="19" t="str">
        <x:v>Owner and brewmaster, Delver's Brewery</x:v>
      </x:c>
      <x:c r="H24" s="19" t="str">
        <x:v>Paizo / campaign-expanded</x:v>
      </x:c>
      <x:c r="I24" s="19" t="str">
        <x:v>Delver's Brewery Article</x:v>
      </x:c>
      <x:c r="J24" s="19" t="str">
        <x:v>Referenced in the Kingmaker sourcebook.</x:v>
      </x:c>
      <x:c r="K24" s="38"/>
      <x:c r="L24" s="38" t="str">
        <x:f>IF(OR(D24&lt;&gt;"Yes",K24=""),"",K24+365)</x:f>
      </x:c>
      <x:c r="M24" s="17" t="str">
        <x:f>IF(D24&lt;&gt;"Yes","N/A",IF(K24="","Date missing",IF(TODAY()&gt;=L24,"Review due",IF(TODAY()+90&gt;=L24,"Review soon","Current"))))</x:f>
        <x:v>N/A</x:v>
      </x:c>
      <x:c r="N24" s="17" t="str">
        <x:v>No</x:v>
      </x:c>
      <x:c r="O24" s="19" t="str"/>
    </x:row>
    <x:row r="25">
      <x:c r="A25" s="17" t="str">
        <x:v>Eda Wren</x:v>
      </x:c>
      <x:c r="B25" s="17" t="str">
        <x:v>Alive</x:v>
      </x:c>
      <x:c r="C25" s="17" t="str">
        <x:v>No</x:v>
      </x:c>
      <x:c r="D25" s="17" t="str">
        <x:v>No</x:v>
      </x:c>
      <x:c r="E25" s="18" t="str"/>
      <x:c r="F25" s="17" t="str">
        <x:v>Tok-Nikrat</x:v>
      </x:c>
      <x:c r="G25" s="19" t="str">
        <x:v>Common-speaking liaison, the Whispering Step</x:v>
      </x:c>
      <x:c r="H25" s="19" t="str">
        <x:v>Locally created</x:v>
      </x:c>
      <x:c r="I25" s="19" t="str">
        <x:v>The Whispering Step Article</x:v>
      </x:c>
      <x:c r="J25" s="19" t="str"/>
      <x:c r="K25" s="38"/>
      <x:c r="L25" s="38" t="str">
        <x:f>IF(OR(D25&lt;&gt;"Yes",K25=""),"",K25+365)</x:f>
      </x:c>
      <x:c r="M25" s="17" t="str">
        <x:f>IF(D25&lt;&gt;"Yes","N/A",IF(K25="","Date missing",IF(TODAY()&gt;=L25,"Review due",IF(TODAY()+90&gt;=L25,"Review soon","Current"))))</x:f>
        <x:v>N/A</x:v>
      </x:c>
      <x:c r="N25" s="17" t="str">
        <x:v>No</x:v>
      </x:c>
      <x:c r="O25" s="19" t="str"/>
    </x:row>
    <x:row r="26">
      <x:c r="A26" s="17" t="str">
        <x:v>Ekundayo</x:v>
      </x:c>
      <x:c r="B26" s="17" t="str">
        <x:v>Alive</x:v>
      </x:c>
      <x:c r="C26" s="17" t="str">
        <x:v>No</x:v>
      </x:c>
      <x:c r="D26" s="17" t="str">
        <x:v>Yes</x:v>
      </x:c>
      <x:c r="E26" s="18" t="str">
        <x:v>https://www.worldanvil.com/w/inner-sea-region-bobzap66/a/ekundayo-person</x:v>
      </x:c>
      <x:c r="F26" s="17" t="str">
        <x:v>Republic / western marches</x:v>
      </x:c>
      <x:c r="G26" s="19" t="str">
        <x:v>Ranger and companion</x:v>
      </x:c>
      <x:c r="H26" s="19" t="str">
        <x:v>Paizo / campaign</x:v>
      </x:c>
      <x:c r="I26" s="19" t="str">
        <x:v>World Anvil NPC article</x:v>
      </x:c>
      <x:c r="J26" s="19" t="str">
        <x:v>Last known alive.</x:v>
      </x:c>
      <x:c r="K26" s="38" t="n">
        <x:v>45919.666666666664</x:v>
      </x:c>
      <x:c r="L26" s="38" t="n">
        <x:f>IF(OR(D26&lt;&gt;"Yes",K26=""),"",K26+365)</x:f>
        <x:v>46284.666666666664</x:v>
      </x:c>
      <x:c r="M26" s="17" t="str">
        <x:f>IF(D26&lt;&gt;"Yes","N/A",IF(K26="","Date missing",IF(TODAY()&gt;=L26,"Review due",IF(TODAY()+90&gt;=L26,"Review soon","Current"))))</x:f>
        <x:v>Review soon</x:v>
      </x:c>
      <x:c r="N26" s="17" t="str">
        <x:v>Yes</x:v>
      </x:c>
      <x:c r="O26" s="19" t="str">
        <x:v>Assets\Portraits\Ruling Council\Ekundayo - Minister of Defense v2.png</x:v>
      </x:c>
    </x:row>
    <x:row r="27">
      <x:c r="A27" s="17" t="str">
        <x:v>Elga Verniex</x:v>
      </x:c>
      <x:c r="B27" s="17" t="str">
        <x:v>Alive</x:v>
      </x:c>
      <x:c r="C27" s="17" t="str">
        <x:v>No</x:v>
      </x:c>
      <x:c r="D27" s="17" t="str">
        <x:v>Yes</x:v>
      </x:c>
      <x:c r="E27" s="18" t="str">
        <x:v>https://www.worldanvil.com/w/inner-sea-region-bobzap66/a/elga-verniex-person</x:v>
      </x:c>
      <x:c r="F27" s="17" t="str">
        <x:v>Republic</x:v>
      </x:c>
      <x:c r="G27" s="19" t="str">
        <x:v>Campaign NPC</x:v>
      </x:c>
      <x:c r="H27" s="19" t="str">
        <x:v>Paizo / campaign</x:v>
      </x:c>
      <x:c r="I27" s="19" t="str">
        <x:v>World Anvil NPC article</x:v>
      </x:c>
      <x:c r="J27" s="19" t="str">
        <x:v>Primary settlement should be refined when her article is next reviewed.</x:v>
      </x:c>
      <x:c r="K27" s="38" t="n">
        <x:v>45919.666666666664</x:v>
      </x:c>
      <x:c r="L27" s="38" t="n">
        <x:f>IF(OR(D27&lt;&gt;"Yes",K27=""),"",K27+365)</x:f>
        <x:v>46284.666666666664</x:v>
      </x:c>
      <x:c r="M27" s="17" t="str">
        <x:f>IF(D27&lt;&gt;"Yes","N/A",IF(K27="","Date missing",IF(TODAY()&gt;=L27,"Review due",IF(TODAY()+90&gt;=L27,"Review soon","Current"))))</x:f>
        <x:v>Review soon</x:v>
      </x:c>
      <x:c r="N27" s="17" t="str">
        <x:v>No</x:v>
      </x:c>
      <x:c r="O27" s="19" t="str"/>
    </x:row>
    <x:row r="28">
      <x:c r="A28" s="17" t="str">
        <x:v>Eobald</x:v>
      </x:c>
      <x:c r="B28" s="17" t="str">
        <x:v>Alive</x:v>
      </x:c>
      <x:c r="C28" s="17" t="str">
        <x:v>No</x:v>
      </x:c>
      <x:c r="D28" s="17" t="str">
        <x:v>Yes</x:v>
      </x:c>
      <x:c r="E28" s="18" t="str">
        <x:v>https://www.worldanvil.com/w/inner-sea-region-bobzap66/a/eobald-person</x:v>
      </x:c>
      <x:c r="F28" s="17" t="str">
        <x:v>Thumpington; formerly Pitax</x:v>
      </x:c>
      <x:c r="G28" s="19" t="str">
        <x:v>Wizard, educator, printer, and theatrical director</x:v>
      </x:c>
      <x:c r="H28" s="19" t="str">
        <x:v>Paizo Companion Guide / campaign-expanded</x:v>
      </x:c>
      <x:c r="I28" s="19" t="str">
        <x:v>Eobald Article; Free University Article</x:v>
      </x:c>
      <x:c r="J28" s="19" t="str">
        <x:v>Founding intellectual influence on the university and government press.</x:v>
      </x:c>
      <x:c r="K28" s="38" t="n">
        <x:v>46266.666666666664</x:v>
      </x:c>
      <x:c r="L28" s="38" t="n">
        <x:f>IF(OR(D28&lt;&gt;"Yes",K28=""),"",K28+365)</x:f>
        <x:v>46631.666666666664</x:v>
      </x:c>
      <x:c r="M28" s="17" t="str">
        <x:f>IF(D28&lt;&gt;"Yes","N/A",IF(K28="","Date missing",IF(TODAY()&gt;=L28,"Review due",IF(TODAY()+90&gt;=L28,"Review soon","Current"))))</x:f>
        <x:v>Current</x:v>
      </x:c>
      <x:c r="N28" s="17" t="str">
        <x:v>Yes</x:v>
      </x:c>
      <x:c r="O28" s="19" t="str">
        <x:v>Assets\Portraits\Eobald - University Lecturer.png</x:v>
      </x:c>
    </x:row>
    <x:row r="29">
      <x:c r="A29" s="17" t="str">
        <x:v>Euan Blackwood</x:v>
      </x:c>
      <x:c r="B29" s="17" t="str">
        <x:v>Alive</x:v>
      </x:c>
      <x:c r="C29" s="17" t="str">
        <x:v>No</x:v>
      </x:c>
      <x:c r="D29" s="17" t="str">
        <x:v>Yes</x:v>
      </x:c>
      <x:c r="E29" s="18" t="str">
        <x:v>https://www.worldanvil.com/w/inner-sea-region-bobzap66/a/euan-blackwood-person</x:v>
      </x:c>
      <x:c r="F29" s="17" t="str">
        <x:v>Republic</x:v>
      </x:c>
      <x:c r="G29" s="19" t="str">
        <x:v>Campaign NPC</x:v>
      </x:c>
      <x:c r="H29" s="19" t="str">
        <x:v>Paizo / campaign</x:v>
      </x:c>
      <x:c r="I29" s="19" t="str">
        <x:v>World Anvil NPC article</x:v>
      </x:c>
      <x:c r="J29" s="19" t="str">
        <x:v>Primary settlement should be refined when his article is next reviewed.</x:v>
      </x:c>
      <x:c r="K29" s="38" t="n">
        <x:v>45919.666666666664</x:v>
      </x:c>
      <x:c r="L29" s="38" t="n">
        <x:f>IF(OR(D29&lt;&gt;"Yes",K29=""),"",K29+365)</x:f>
        <x:v>46284.666666666664</x:v>
      </x:c>
      <x:c r="M29" s="17" t="str">
        <x:f>IF(D29&lt;&gt;"Yes","N/A",IF(K29="","Date missing",IF(TODAY()&gt;=L29,"Review due",IF(TODAY()+90&gt;=L29,"Review soon","Current"))))</x:f>
        <x:v>Review soon</x:v>
      </x:c>
      <x:c r="N29" s="17" t="str">
        <x:v>No</x:v>
      </x:c>
      <x:c r="O29" s="19" t="str"/>
    </x:row>
    <x:row r="30">
      <x:c r="A30" s="17" t="str">
        <x:v>Fenno Pike</x:v>
      </x:c>
      <x:c r="B30" s="17" t="str">
        <x:v>Alive</x:v>
      </x:c>
      <x:c r="C30" s="17" t="str">
        <x:v>No</x:v>
      </x:c>
      <x:c r="D30" s="17" t="str">
        <x:v>No</x:v>
      </x:c>
      <x:c r="E30" s="18" t="str"/>
      <x:c r="F30" s="17" t="str">
        <x:v>Tatzlford</x:v>
      </x:c>
      <x:c r="G30" s="19" t="str">
        <x:v>Leatherworker; Joined Hands guild member</x:v>
      </x:c>
      <x:c r="H30" s="19" t="str">
        <x:v>Locally created</x:v>
      </x:c>
      <x:c r="I30" s="19" t="str">
        <x:v>Guildhall of the Joined Hands Article</x:v>
      </x:c>
      <x:c r="J30" s="19" t="str"/>
      <x:c r="K30" s="38"/>
      <x:c r="L30" s="38" t="str">
        <x:f>IF(OR(D30&lt;&gt;"Yes",K30=""),"",K30+365)</x:f>
      </x:c>
      <x:c r="M30" s="17" t="str">
        <x:f>IF(D30&lt;&gt;"Yes","N/A",IF(K30="","Date missing",IF(TODAY()&gt;=L30,"Review due",IF(TODAY()+90&gt;=L30,"Review soon","Current"))))</x:f>
        <x:v>N/A</x:v>
      </x:c>
      <x:c r="N30" s="17" t="str">
        <x:v>No</x:v>
      </x:c>
      <x:c r="O30" s="19" t="str"/>
    </x:row>
    <x:row r="31">
      <x:c r="A31" s="17" t="str">
        <x:v>First Dawnpriest Samira Veyd</x:v>
      </x:c>
      <x:c r="B31" s="17" t="str">
        <x:v>Alive</x:v>
      </x:c>
      <x:c r="C31" s="17" t="str">
        <x:v>No</x:v>
      </x:c>
      <x:c r="D31" s="17" t="str">
        <x:v>No</x:v>
      </x:c>
      <x:c r="E31" s="18" t="str"/>
      <x:c r="F31" s="17" t="str">
        <x:v>Thumpington</x:v>
      </x:c>
      <x:c r="G31" s="19" t="str">
        <x:v>Rector, Temple of First Light</x:v>
      </x:c>
      <x:c r="H31" s="19" t="str">
        <x:v>Locally created</x:v>
      </x:c>
      <x:c r="I31" s="19" t="str">
        <x:v>Temple of First Light Article</x:v>
      </x:c>
      <x:c r="J31" s="19" t="str"/>
      <x:c r="K31" s="38"/>
      <x:c r="L31" s="38" t="str">
        <x:f>IF(OR(D31&lt;&gt;"Yes",K31=""),"",K31+365)</x:f>
      </x:c>
      <x:c r="M31" s="17" t="str">
        <x:f>IF(D31&lt;&gt;"Yes","N/A",IF(K31="","Date missing",IF(TODAY()&gt;=L31,"Review due",IF(TODAY()+90&gt;=L31,"Review soon","Current"))))</x:f>
        <x:v>N/A</x:v>
      </x:c>
      <x:c r="N31" s="17" t="str">
        <x:v>No</x:v>
      </x:c>
      <x:c r="O31" s="19" t="str"/>
    </x:row>
    <x:row r="32">
      <x:c r="A32" s="17" t="str">
        <x:v>Garrin Whetforge</x:v>
      </x:c>
      <x:c r="B32" s="17" t="str">
        <x:v>Alive</x:v>
      </x:c>
      <x:c r="C32" s="17" t="str">
        <x:v>No</x:v>
      </x:c>
      <x:c r="D32" s="17" t="str">
        <x:v>No</x:v>
      </x:c>
      <x:c r="E32" s="18" t="str"/>
      <x:c r="F32" s="17" t="str">
        <x:v>Tatzlford</x:v>
      </x:c>
      <x:c r="G32" s="19" t="str">
        <x:v>Blacksmith; Joined Hands guild member</x:v>
      </x:c>
      <x:c r="H32" s="19" t="str">
        <x:v>Locally created</x:v>
      </x:c>
      <x:c r="I32" s="19" t="str">
        <x:v>Guildhall of the Joined Hands Article</x:v>
      </x:c>
      <x:c r="J32" s="19" t="str"/>
      <x:c r="K32" s="38"/>
      <x:c r="L32" s="38" t="str">
        <x:f>IF(OR(D32&lt;&gt;"Yes",K32=""),"",K32+365)</x:f>
      </x:c>
      <x:c r="M32" s="17" t="str">
        <x:f>IF(D32&lt;&gt;"Yes","N/A",IF(K32="","Date missing",IF(TODAY()&gt;=L32,"Review due",IF(TODAY()+90&gt;=L32,"Review soon","Current"))))</x:f>
        <x:v>N/A</x:v>
      </x:c>
      <x:c r="N32" s="17" t="str">
        <x:v>No</x:v>
      </x:c>
      <x:c r="O32" s="19" t="str"/>
    </x:row>
    <x:row r="33">
      <x:c r="A33" s="17" t="str">
        <x:v>Gasperre Liacenza</x:v>
      </x:c>
      <x:c r="B33" s="17" t="str">
        <x:v>Alive</x:v>
      </x:c>
      <x:c r="C33" s="17" t="str">
        <x:v>No</x:v>
      </x:c>
      <x:c r="D33" s="17" t="str">
        <x:v>No</x:v>
      </x:c>
      <x:c r="E33" s="18" t="str"/>
      <x:c r="F33" s="17" t="str">
        <x:v>Pitax</x:v>
      </x:c>
      <x:c r="G33" s="19" t="str">
        <x:v>Representative of the Banded Houses</x:v>
      </x:c>
      <x:c r="H33" s="19" t="str">
        <x:v>Paizo Companion Guide / campaign</x:v>
      </x:c>
      <x:c r="I33" s="19" t="str">
        <x:v>Pitax Article</x:v>
      </x:c>
      <x:c r="J33" s="19" t="str"/>
      <x:c r="K33" s="38"/>
      <x:c r="L33" s="38" t="str">
        <x:f>IF(OR(D33&lt;&gt;"Yes",K33=""),"",K33+365)</x:f>
      </x:c>
      <x:c r="M33" s="17" t="str">
        <x:f>IF(D33&lt;&gt;"Yes","N/A",IF(K33="","Date missing",IF(TODAY()&gt;=L33,"Review due",IF(TODAY()+90&gt;=L33,"Review soon","Current"))))</x:f>
        <x:v>N/A</x:v>
      </x:c>
      <x:c r="N33" s="17" t="str">
        <x:v>No</x:v>
      </x:c>
      <x:c r="O33" s="19" t="str"/>
    </x:row>
    <x:row r="34">
      <x:c r="A34" s="17" t="str">
        <x:v>Ghare Leotos</x:v>
      </x:c>
      <x:c r="B34" s="17" t="str">
        <x:v>Alive</x:v>
      </x:c>
      <x:c r="C34" s="17" t="str">
        <x:v>No</x:v>
      </x:c>
      <x:c r="D34" s="17" t="str">
        <x:v>No</x:v>
      </x:c>
      <x:c r="E34" s="18" t="str"/>
      <x:c r="F34" s="17" t="str">
        <x:v>Pitax</x:v>
      </x:c>
      <x:c r="G34" s="19" t="str">
        <x:v>Civic portfolio: Relief and Faiths</x:v>
      </x:c>
      <x:c r="H34" s="19" t="str">
        <x:v>Paizo Companion Guide / campaign</x:v>
      </x:c>
      <x:c r="I34" s="19" t="str">
        <x:v>Pitax Article</x:v>
      </x:c>
      <x:c r="J34" s="19" t="str"/>
      <x:c r="K34" s="38"/>
      <x:c r="L34" s="38" t="str">
        <x:f>IF(OR(D34&lt;&gt;"Yes",K34=""),"",K34+365)</x:f>
      </x:c>
      <x:c r="M34" s="17" t="str">
        <x:f>IF(D34&lt;&gt;"Yes","N/A",IF(K34="","Date missing",IF(TODAY()&gt;=L34,"Review due",IF(TODAY()+90&gt;=L34,"Review soon","Current"))))</x:f>
        <x:v>N/A</x:v>
      </x:c>
      <x:c r="N34" s="17" t="str">
        <x:v>No</x:v>
      </x:c>
      <x:c r="O34" s="19" t="str"/>
    </x:row>
    <x:row r="35">
      <x:c r="A35" s="17" t="str">
        <x:v>Griggit Fizzlesticks</x:v>
      </x:c>
      <x:c r="B35" s="17" t="str">
        <x:v>Alive</x:v>
      </x:c>
      <x:c r="C35" s="17" t="str">
        <x:v>No</x:v>
      </x:c>
      <x:c r="D35" s="17" t="str">
        <x:v>No</x:v>
      </x:c>
      <x:c r="E35" s="18" t="str"/>
      <x:c r="F35" s="17" t="str">
        <x:v>Greengripe</x:v>
      </x:c>
      <x:c r="G35" s="19" t="str">
        <x:v>Proprietor and alchemist, Fizzlesticks &amp; Co.</x:v>
      </x:c>
      <x:c r="H35" s="19" t="str">
        <x:v>Locally created</x:v>
      </x:c>
      <x:c r="I35" s="19" t="str">
        <x:v>Fizzlesticks &amp; Co. Article</x:v>
      </x:c>
      <x:c r="J35" s="19" t="str"/>
      <x:c r="K35" s="38"/>
      <x:c r="L35" s="38" t="str">
        <x:f>IF(OR(D35&lt;&gt;"Yes",K35=""),"",K35+365)</x:f>
      </x:c>
      <x:c r="M35" s="17" t="str">
        <x:f>IF(D35&lt;&gt;"Yes","N/A",IF(K35="","Date missing",IF(TODAY()&gt;=L35,"Review due",IF(TODAY()+90&gt;=L35,"Review soon","Current"))))</x:f>
        <x:v>N/A</x:v>
      </x:c>
      <x:c r="N35" s="17" t="str">
        <x:v>No</x:v>
      </x:c>
      <x:c r="O35" s="19" t="str"/>
    </x:row>
    <x:row r="36">
      <x:c r="A36" s="17" t="str">
        <x:v>Grigori</x:v>
      </x:c>
      <x:c r="B36" s="17" t="str">
        <x:v>Alive</x:v>
      </x:c>
      <x:c r="C36" s="17" t="str">
        <x:v>No</x:v>
      </x:c>
      <x:c r="D36" s="17" t="str">
        <x:v>Yes</x:v>
      </x:c>
      <x:c r="E36" s="18" t="str">
        <x:v>https://www.worldanvil.com/w/inner-sea-region-bobzap66/a/grigori-person</x:v>
      </x:c>
      <x:c r="F36" s="17" t="str">
        <x:v>Thumpington</x:v>
      </x:c>
      <x:c r="G36" s="19" t="str">
        <x:v>Agitator; convicted prisoner</x:v>
      </x:c>
      <x:c r="H36" s="19" t="str">
        <x:v>Paizo / campaign</x:v>
      </x:c>
      <x:c r="I36" s="19" t="str">
        <x:v>Sessions 17–18 Summaries; Ministry of Justice Article</x:v>
      </x:c>
      <x:c r="J36" s="19" t="str">
        <x:v>Tried and convicted; no death recorded.</x:v>
      </x:c>
      <x:c r="K36" s="38" t="n">
        <x:v>45919.666666666664</x:v>
      </x:c>
      <x:c r="L36" s="38" t="n">
        <x:f>IF(OR(D36&lt;&gt;"Yes",K36=""),"",K36+365)</x:f>
        <x:v>46284.666666666664</x:v>
      </x:c>
      <x:c r="M36" s="17" t="str">
        <x:f>IF(D36&lt;&gt;"Yes","N/A",IF(K36="","Date missing",IF(TODAY()&gt;=L36,"Review due",IF(TODAY()+90&gt;=L36,"Review soon","Current"))))</x:f>
        <x:v>Review soon</x:v>
      </x:c>
      <x:c r="N36" s="17" t="str">
        <x:v>No</x:v>
      </x:c>
      <x:c r="O36" s="19" t="str"/>
    </x:row>
    <x:row r="37">
      <x:c r="A37" s="17" t="str">
        <x:v>Hannis Drelev</x:v>
      </x:c>
      <x:c r="B37" s="17" t="str">
        <x:v>Dead</x:v>
      </x:c>
      <x:c r="C37" s="17" t="str">
        <x:v>Yes</x:v>
      </x:c>
      <x:c r="D37" s="17" t="str">
        <x:v>Yes</x:v>
      </x:c>
      <x:c r="E37" s="18" t="str">
        <x:v>https://www.worldanvil.com/w/inner-sea-region-bobzap66/a/hannis-drelev-person</x:v>
      </x:c>
      <x:c r="F37" s="17" t="str">
        <x:v>Fort Drelev</x:v>
      </x:c>
      <x:c r="G37" s="19" t="str">
        <x:v>Former baron of Fort Drelev</x:v>
      </x:c>
      <x:c r="H37" s="19" t="str">
        <x:v>Paizo / campaign</x:v>
      </x:c>
      <x:c r="I37" s="19" t="str">
        <x:v>Session 43 Summary; Thumping Waters Article</x:v>
      </x:c>
      <x:c r="J37" s="19" t="str">
        <x:v>Killed in his banquet hall.</x:v>
      </x:c>
      <x:c r="K37" s="38" t="n">
        <x:v>45981.708333333336</x:v>
      </x:c>
      <x:c r="L37" s="38" t="n">
        <x:f>IF(OR(D37&lt;&gt;"Yes",K37=""),"",K37+365)</x:f>
        <x:v>46346.708333333336</x:v>
      </x:c>
      <x:c r="M37" s="17" t="str">
        <x:f>IF(D37&lt;&gt;"Yes","N/A",IF(K37="","Date missing",IF(TODAY()&gt;=L37,"Review due",IF(TODAY()+90&gt;=L37,"Review soon","Current"))))</x:f>
        <x:v>Review soon</x:v>
      </x:c>
      <x:c r="N37" s="17" t="str">
        <x:v>No</x:v>
      </x:c>
      <x:c r="O37" s="19" t="str"/>
    </x:row>
    <x:row r="38">
      <x:c r="A38" s="17" t="str">
        <x:v>Hargulka</x:v>
      </x:c>
      <x:c r="B38" s="17" t="str">
        <x:v>Dead</x:v>
      </x:c>
      <x:c r="C38" s="17" t="str">
        <x:v>Yes</x:v>
      </x:c>
      <x:c r="D38" s="17" t="str">
        <x:v>Yes</x:v>
      </x:c>
      <x:c r="E38" s="18" t="str">
        <x:v>https://www.worldanvil.com/w/inner-sea-region-bobzap66/a/hargulka-person</x:v>
      </x:c>
      <x:c r="F38" s="17" t="str">
        <x:v>Hargulka's stronghold</x:v>
      </x:c>
      <x:c r="G38" s="19" t="str">
        <x:v>Troll king</x:v>
      </x:c>
      <x:c r="H38" s="19" t="str">
        <x:v>Paizo / campaign</x:v>
      </x:c>
      <x:c r="I38" s="19" t="str">
        <x:v>Session 19 Summary; Thumping Waters Article</x:v>
      </x:c>
      <x:c r="J38" s="19" t="str">
        <x:v>Killed with Gurija in the troll stronghold.</x:v>
      </x:c>
      <x:c r="K38" s="38" t="n">
        <x:v>45919.666666666664</x:v>
      </x:c>
      <x:c r="L38" s="38" t="n">
        <x:f>IF(OR(D38&lt;&gt;"Yes",K38=""),"",K38+365)</x:f>
        <x:v>46284.666666666664</x:v>
      </x:c>
      <x:c r="M38" s="17" t="str">
        <x:f>IF(D38&lt;&gt;"Yes","N/A",IF(K38="","Date missing",IF(TODAY()&gt;=L38,"Review due",IF(TODAY()+90&gt;=L38,"Review soon","Current"))))</x:f>
        <x:v>Review soon</x:v>
      </x:c>
      <x:c r="N38" s="17" t="str">
        <x:v>No</x:v>
      </x:c>
      <x:c r="O38" s="19" t="str"/>
    </x:row>
    <x:row r="39">
      <x:c r="A39" s="17" t="str">
        <x:v>Harl Edvane</x:v>
      </x:c>
      <x:c r="B39" s="17" t="str">
        <x:v>Alive</x:v>
      </x:c>
      <x:c r="C39" s="17" t="str">
        <x:v>No</x:v>
      </x:c>
      <x:c r="D39" s="17" t="str">
        <x:v>No</x:v>
      </x:c>
      <x:c r="E39" s="18" t="str"/>
      <x:c r="F39" s="17" t="str">
        <x:v>Fort Serenko</x:v>
      </x:c>
      <x:c r="G39" s="19" t="str">
        <x:v>Master of Works, Fort Serenko Lumberworks</x:v>
      </x:c>
      <x:c r="H39" s="19" t="str">
        <x:v>Locally created</x:v>
      </x:c>
      <x:c r="I39" s="19" t="str">
        <x:v>Fort Serenko Lumberworks Article</x:v>
      </x:c>
      <x:c r="J39" s="19" t="str"/>
      <x:c r="K39" s="38"/>
      <x:c r="L39" s="38" t="str">
        <x:f>IF(OR(D39&lt;&gt;"Yes",K39=""),"",K39+365)</x:f>
      </x:c>
      <x:c r="M39" s="17" t="str">
        <x:f>IF(D39&lt;&gt;"Yes","N/A",IF(K39="","Date missing",IF(TODAY()&gt;=L39,"Review due",IF(TODAY()+90&gt;=L39,"Review soon","Current"))))</x:f>
        <x:v>N/A</x:v>
      </x:c>
      <x:c r="N39" s="17" t="str">
        <x:v>No</x:v>
      </x:c>
      <x:c r="O39" s="19" t="str"/>
    </x:row>
    <x:row r="40">
      <x:c r="A40" s="17" t="str">
        <x:v>Harrim</x:v>
      </x:c>
      <x:c r="B40" s="17" t="str">
        <x:v>Alive</x:v>
      </x:c>
      <x:c r="C40" s="17" t="str">
        <x:v>No</x:v>
      </x:c>
      <x:c r="D40" s="17" t="str">
        <x:v>Yes</x:v>
      </x:c>
      <x:c r="E40" s="18" t="str">
        <x:v>https://www.worldanvil.com/w/inner-sea-region-bobzap66/a/harrim-person</x:v>
      </x:c>
      <x:c r="F40" s="17" t="str">
        <x:v>Republic</x:v>
      </x:c>
      <x:c r="G40" s="19" t="str">
        <x:v>Priest of Groetus; companion</x:v>
      </x:c>
      <x:c r="H40" s="19" t="str">
        <x:v>Paizo / campaign</x:v>
      </x:c>
      <x:c r="I40" s="19" t="str">
        <x:v>World Anvil NPC article</x:v>
      </x:c>
      <x:c r="J40" s="19" t="str">
        <x:v>Last known alive.</x:v>
      </x:c>
      <x:c r="K40" s="38" t="n">
        <x:v>45919.666666666664</x:v>
      </x:c>
      <x:c r="L40" s="38" t="n">
        <x:f>IF(OR(D40&lt;&gt;"Yes",K40=""),"",K40+365)</x:f>
        <x:v>46284.666666666664</x:v>
      </x:c>
      <x:c r="M40" s="17" t="str">
        <x:f>IF(D40&lt;&gt;"Yes","N/A",IF(K40="","Date missing",IF(TODAY()&gt;=L40,"Review due",IF(TODAY()+90&gt;=L40,"Review soon","Current"))))</x:f>
        <x:v>Review soon</x:v>
      </x:c>
      <x:c r="N40" s="17" t="str">
        <x:v>No</x:v>
      </x:c>
      <x:c r="O40" s="19" t="str"/>
    </x:row>
    <x:row r="41">
      <x:c r="A41" s="17" t="str">
        <x:v>Hearthwarden Oren Pell</x:v>
      </x:c>
      <x:c r="B41" s="17" t="str">
        <x:v>Alive</x:v>
      </x:c>
      <x:c r="C41" s="17" t="str">
        <x:v>No</x:v>
      </x:c>
      <x:c r="D41" s="17" t="str">
        <x:v>No</x:v>
      </x:c>
      <x:c r="E41" s="18" t="str"/>
      <x:c r="F41" s="17" t="str">
        <x:v>Thumpington</x:v>
      </x:c>
      <x:c r="G41" s="19" t="str">
        <x:v>Temple of First Light staff</x:v>
      </x:c>
      <x:c r="H41" s="19" t="str">
        <x:v>Locally created</x:v>
      </x:c>
      <x:c r="I41" s="19" t="str">
        <x:v>Temple of First Light Article</x:v>
      </x:c>
      <x:c r="J41" s="19" t="str"/>
      <x:c r="K41" s="38"/>
      <x:c r="L41" s="38" t="str">
        <x:f>IF(OR(D41&lt;&gt;"Yes",K41=""),"",K41+365)</x:f>
      </x:c>
      <x:c r="M41" s="17" t="str">
        <x:f>IF(D41&lt;&gt;"Yes","N/A",IF(K41="","Date missing",IF(TODAY()&gt;=L41,"Review due",IF(TODAY()+90&gt;=L41,"Review soon","Current"))))</x:f>
        <x:v>N/A</x:v>
      </x:c>
      <x:c r="N41" s="17" t="str">
        <x:v>No</x:v>
      </x:c>
      <x:c r="O41" s="19" t="str"/>
    </x:row>
    <x:row r="42">
      <x:c r="A42" s="17" t="str">
        <x:v>Hesh-Tarak</x:v>
      </x:c>
      <x:c r="B42" s="17" t="str">
        <x:v>Alive</x:v>
      </x:c>
      <x:c r="C42" s="17" t="str">
        <x:v>No</x:v>
      </x:c>
      <x:c r="D42" s="17" t="str">
        <x:v>No</x:v>
      </x:c>
      <x:c r="E42" s="18" t="str"/>
      <x:c r="F42" s="17" t="str">
        <x:v>Tok-Nikrat</x:v>
      </x:c>
      <x:c r="G42" s="19" t="str">
        <x:v>Cook, the Whispering Step</x:v>
      </x:c>
      <x:c r="H42" s="19" t="str">
        <x:v>Locally created</x:v>
      </x:c>
      <x:c r="I42" s="19" t="str">
        <x:v>The Whispering Step Article</x:v>
      </x:c>
      <x:c r="J42" s="19" t="str"/>
      <x:c r="K42" s="38"/>
      <x:c r="L42" s="38" t="str">
        <x:f>IF(OR(D42&lt;&gt;"Yes",K42=""),"",K42+365)</x:f>
      </x:c>
      <x:c r="M42" s="17" t="str">
        <x:f>IF(D42&lt;&gt;"Yes","N/A",IF(K42="","Date missing",IF(TODAY()&gt;=L42,"Review due",IF(TODAY()+90&gt;=L42,"Review soon","Current"))))</x:f>
        <x:v>N/A</x:v>
      </x:c>
      <x:c r="N42" s="17" t="str">
        <x:v>No</x:v>
      </x:c>
      <x:c r="O42" s="19" t="str"/>
    </x:row>
    <x:row r="43">
      <x:c r="A43" s="17" t="str">
        <x:v>Ilyana Reeds</x:v>
      </x:c>
      <x:c r="B43" s="17" t="str">
        <x:v>Alive</x:v>
      </x:c>
      <x:c r="C43" s="17" t="str">
        <x:v>No</x:v>
      </x:c>
      <x:c r="D43" s="17" t="str">
        <x:v>No</x:v>
      </x:c>
      <x:c r="E43" s="18" t="str"/>
      <x:c r="F43" s="17" t="str">
        <x:v>Thumpington</x:v>
      </x:c>
      <x:c r="G43" s="19" t="str">
        <x:v>Lecturer in Navigation and Applied Cartography</x:v>
      </x:c>
      <x:c r="H43" s="19" t="str">
        <x:v>Locally created</x:v>
      </x:c>
      <x:c r="I43" s="19" t="str">
        <x:v>Free University / Lantern and Ledger articles</x:v>
      </x:c>
      <x:c r="J43" s="19" t="str"/>
      <x:c r="K43" s="38"/>
      <x:c r="L43" s="38" t="str">
        <x:f>IF(OR(D43&lt;&gt;"Yes",K43=""),"",K43+365)</x:f>
      </x:c>
      <x:c r="M43" s="17" t="str">
        <x:f>IF(D43&lt;&gt;"Yes","N/A",IF(K43="","Date missing",IF(TODAY()&gt;=L43,"Review due",IF(TODAY()+90&gt;=L43,"Review soon","Current"))))</x:f>
        <x:v>N/A</x:v>
      </x:c>
      <x:c r="N43" s="17" t="str">
        <x:v>No</x:v>
      </x:c>
      <x:c r="O43" s="19" t="str"/>
    </x:row>
    <x:row r="44">
      <x:c r="A44" s="17" t="str">
        <x:v>Imeckas Stroon</x:v>
      </x:c>
      <x:c r="B44" s="17" t="str">
        <x:v>Alive</x:v>
      </x:c>
      <x:c r="C44" s="17" t="str">
        <x:v>No</x:v>
      </x:c>
      <x:c r="D44" s="17" t="str">
        <x:v>Yes</x:v>
      </x:c>
      <x:c r="E44" s="18" t="str">
        <x:v>https://www.worldanvil.com/w/inner-sea-region-bobzap66/a/imeckas-stroon-person-1</x:v>
      </x:c>
      <x:c r="F44" s="17" t="str">
        <x:v>Fort Drelev</x:v>
      </x:c>
      <x:c r="G44" s="19" t="str">
        <x:v>Wizard; Pavetta Stroon-Drelev's brother</x:v>
      </x:c>
      <x:c r="H44" s="19" t="str">
        <x:v>Paizo / campaign</x:v>
      </x:c>
      <x:c r="I44" s="19" t="str">
        <x:v>Kingmaker Notes; World Anvil NPC article</x:v>
      </x:c>
      <x:c r="J44" s="19" t="str">
        <x:v>Negotiated with the party during Drelev's fall; no death recorded.</x:v>
      </x:c>
      <x:c r="K44" s="38" t="n">
        <x:v>45981.708333333336</x:v>
      </x:c>
      <x:c r="L44" s="38" t="n">
        <x:f>IF(OR(D44&lt;&gt;"Yes",K44=""),"",K44+365)</x:f>
        <x:v>46346.708333333336</x:v>
      </x:c>
      <x:c r="M44" s="17" t="str">
        <x:f>IF(D44&lt;&gt;"Yes","N/A",IF(K44="","Date missing",IF(TODAY()&gt;=L44,"Review due",IF(TODAY()+90&gt;=L44,"Review soon","Current"))))</x:f>
        <x:v>Review soon</x:v>
      </x:c>
      <x:c r="N44" s="17" t="str">
        <x:v>No</x:v>
      </x:c>
      <x:c r="O44" s="19" t="str"/>
    </x:row>
    <x:row r="45">
      <x:c r="A45" s="17" t="str">
        <x:v>Ingris</x:v>
      </x:c>
      <x:c r="B45" s="17" t="str">
        <x:v>Alive</x:v>
      </x:c>
      <x:c r="C45" s="17" t="str">
        <x:v>No</x:v>
      </x:c>
      <x:c r="D45" s="17" t="str">
        <x:v>No</x:v>
      </x:c>
      <x:c r="E45" s="18" t="str"/>
      <x:c r="F45" s="17" t="str">
        <x:v>Pitax</x:v>
      </x:c>
      <x:c r="G45" s="19" t="str">
        <x:v>Representative of Markets and Households</x:v>
      </x:c>
      <x:c r="H45" s="19" t="str">
        <x:v>Paizo Companion Guide / campaign</x:v>
      </x:c>
      <x:c r="I45" s="19" t="str">
        <x:v>Pitax Article</x:v>
      </x:c>
      <x:c r="J45" s="19" t="str"/>
      <x:c r="K45" s="38"/>
      <x:c r="L45" s="38" t="str">
        <x:f>IF(OR(D45&lt;&gt;"Yes",K45=""),"",K45+365)</x:f>
      </x:c>
      <x:c r="M45" s="17" t="str">
        <x:f>IF(D45&lt;&gt;"Yes","N/A",IF(K45="","Date missing",IF(TODAY()&gt;=L45,"Review due",IF(TODAY()+90&gt;=L45,"Review soon","Current"))))</x:f>
        <x:v>N/A</x:v>
      </x:c>
      <x:c r="N45" s="17" t="str">
        <x:v>No</x:v>
      </x:c>
      <x:c r="O45" s="19" t="str"/>
    </x:row>
    <x:row r="46">
      <x:c r="A46" s="17" t="str">
        <x:v>Jaethal</x:v>
      </x:c>
      <x:c r="B46" s="17" t="str">
        <x:v>Alive</x:v>
      </x:c>
      <x:c r="C46" s="17" t="str">
        <x:v>No</x:v>
      </x:c>
      <x:c r="D46" s="17" t="str">
        <x:v>Yes</x:v>
      </x:c>
      <x:c r="E46" s="18" t="str">
        <x:v>https://www.worldanvil.com/w/inner-sea-region-bobzap66/a/jaethal-person</x:v>
      </x:c>
      <x:c r="F46" s="17" t="str">
        <x:v>Republic</x:v>
      </x:c>
      <x:c r="G46" s="19" t="str">
        <x:v>Inquisitor of Urgathoa; companion</x:v>
      </x:c>
      <x:c r="H46" s="19" t="str">
        <x:v>Paizo / campaign</x:v>
      </x:c>
      <x:c r="I46" s="19" t="str">
        <x:v>World Anvil NPC article</x:v>
      </x:c>
      <x:c r="J46" s="19" t="str">
        <x:v>Last known alive.</x:v>
      </x:c>
      <x:c r="K46" s="38" t="n">
        <x:v>45919.666666666664</x:v>
      </x:c>
      <x:c r="L46" s="38" t="n">
        <x:f>IF(OR(D46&lt;&gt;"Yes",K46=""),"",K46+365)</x:f>
        <x:v>46284.666666666664</x:v>
      </x:c>
      <x:c r="M46" s="17" t="str">
        <x:f>IF(D46&lt;&gt;"Yes","N/A",IF(K46="","Date missing",IF(TODAY()&gt;=L46,"Review due",IF(TODAY()+90&gt;=L46,"Review soon","Current"))))</x:f>
        <x:v>Review soon</x:v>
      </x:c>
      <x:c r="N46" s="17" t="str">
        <x:v>No</x:v>
      </x:c>
      <x:c r="O46" s="19" t="str"/>
    </x:row>
    <x:row r="47">
      <x:c r="A47" s="17" t="str">
        <x:v>Jamandi Aldori</x:v>
      </x:c>
      <x:c r="B47" s="17" t="str">
        <x:v>Alive</x:v>
      </x:c>
      <x:c r="C47" s="17" t="str">
        <x:v>No</x:v>
      </x:c>
      <x:c r="D47" s="17" t="str">
        <x:v>Yes</x:v>
      </x:c>
      <x:c r="E47" s="18" t="str">
        <x:v>https://www.worldanvil.com/w/inner-sea-region-bobzap66/a/jamandi-aldori-person</x:v>
      </x:c>
      <x:c r="F47" s="17" t="str">
        <x:v>Restov / Brevoy</x:v>
      </x:c>
      <x:c r="G47" s="19" t="str">
        <x:v>Aldori swordlord and charter patron</x:v>
      </x:c>
      <x:c r="H47" s="19" t="str">
        <x:v>Paizo / campaign</x:v>
      </x:c>
      <x:c r="I47" s="19" t="str">
        <x:v>World Anvil NPC article</x:v>
      </x:c>
      <x:c r="J47" s="19" t="str">
        <x:v>Last known alive.</x:v>
      </x:c>
      <x:c r="K47" s="38" t="n">
        <x:v>45919.666666666664</x:v>
      </x:c>
      <x:c r="L47" s="38" t="n">
        <x:f>IF(OR(D47&lt;&gt;"Yes",K47=""),"",K47+365)</x:f>
        <x:v>46284.666666666664</x:v>
      </x:c>
      <x:c r="M47" s="17" t="str">
        <x:f>IF(D47&lt;&gt;"Yes","N/A",IF(K47="","Date missing",IF(TODAY()&gt;=L47,"Review due",IF(TODAY()+90&gt;=L47,"Review soon","Current"))))</x:f>
        <x:v>Review soon</x:v>
      </x:c>
      <x:c r="N47" s="17" t="str">
        <x:v>No</x:v>
      </x:c>
      <x:c r="O47" s="19" t="str"/>
    </x:row>
    <x:row r="48">
      <x:c r="A48" s="17" t="str">
        <x:v>Jamel Visser</x:v>
      </x:c>
      <x:c r="B48" s="17" t="str">
        <x:v>Alive</x:v>
      </x:c>
      <x:c r="C48" s="17" t="str">
        <x:v>No</x:v>
      </x:c>
      <x:c r="D48" s="17" t="str">
        <x:v>Yes</x:v>
      </x:c>
      <x:c r="E48" s="18" t="str">
        <x:v>https://www.worldanvil.com/w/inner-sea-region-bobzap66/a/jamel-visser-person</x:v>
      </x:c>
      <x:c r="F48" s="17" t="str">
        <x:v>Embeth Hall</x:v>
      </x:c>
      <x:c r="G48" s="19" t="str">
        <x:v>Governor; leader of the Embeth Travelers</x:v>
      </x:c>
      <x:c r="H48" s="19" t="str">
        <x:v>Paizo / campaign</x:v>
      </x:c>
      <x:c r="I48" s="19" t="str">
        <x:v>Sessions 25–26 Summaries; White Lantern Article</x:v>
      </x:c>
      <x:c r="J48" s="19" t="str">
        <x:v>Last known alive.</x:v>
      </x:c>
      <x:c r="K48" s="38" t="n">
        <x:v>45919.666666666664</x:v>
      </x:c>
      <x:c r="L48" s="38" t="n">
        <x:f>IF(OR(D48&lt;&gt;"Yes",K48=""),"",K48+365)</x:f>
        <x:v>46284.666666666664</x:v>
      </x:c>
      <x:c r="M48" s="17" t="str">
        <x:f>IF(D48&lt;&gt;"Yes","N/A",IF(K48="","Date missing",IF(TODAY()&gt;=L48,"Review due",IF(TODAY()+90&gt;=L48,"Review soon","Current"))))</x:f>
        <x:v>Review soon</x:v>
      </x:c>
      <x:c r="N48" s="17" t="str">
        <x:v>No</x:v>
      </x:c>
      <x:c r="O48" s="19" t="str"/>
    </x:row>
    <x:row r="49">
      <x:c r="A49" s="17" t="str">
        <x:v>Jamery Gerbasken</x:v>
      </x:c>
      <x:c r="B49" s="17" t="str">
        <x:v>Alive</x:v>
      </x:c>
      <x:c r="C49" s="17" t="str">
        <x:v>No</x:v>
      </x:c>
      <x:c r="D49" s="17" t="str">
        <x:v>No</x:v>
      </x:c>
      <x:c r="E49" s="18" t="str"/>
      <x:c r="F49" s="17" t="str">
        <x:v>Thumpington</x:v>
      </x:c>
      <x:c r="G49" s="19" t="str">
        <x:v>Proprietor, the Roc's Omelette</x:v>
      </x:c>
      <x:c r="H49" s="19" t="str">
        <x:v>Campaign detail / locally expanded</x:v>
      </x:c>
      <x:c r="I49" s="19" t="str">
        <x:v>The Roc's Omelette Article</x:v>
      </x:c>
      <x:c r="J49" s="19" t="str"/>
      <x:c r="K49" s="38"/>
      <x:c r="L49" s="38" t="str">
        <x:f>IF(OR(D49&lt;&gt;"Yes",K49=""),"",K49+365)</x:f>
      </x:c>
      <x:c r="M49" s="17" t="str">
        <x:f>IF(D49&lt;&gt;"Yes","N/A",IF(K49="","Date missing",IF(TODAY()&gt;=L49,"Review due",IF(TODAY()+90&gt;=L49,"Review soon","Current"))))</x:f>
        <x:v>N/A</x:v>
      </x:c>
      <x:c r="N49" s="17" t="str">
        <x:v>No</x:v>
      </x:c>
      <x:c r="O49" s="19" t="str"/>
    </x:row>
    <x:row r="50">
      <x:c r="A50" s="17" t="str">
        <x:v>Jhod Kavken</x:v>
      </x:c>
      <x:c r="B50" s="17" t="str">
        <x:v>Alive</x:v>
      </x:c>
      <x:c r="C50" s="17" t="str">
        <x:v>No</x:v>
      </x:c>
      <x:c r="D50" s="17" t="str">
        <x:v>Yes</x:v>
      </x:c>
      <x:c r="E50" s="18" t="str">
        <x:v>https://www.worldanvil.com/w/inner-sea-region-bobzap66/a/jhod-kavken-person</x:v>
      </x:c>
      <x:c r="F50" s="17" t="str">
        <x:v>Temple of the Elk / Republic</x:v>
      </x:c>
      <x:c r="G50" s="19" t="str">
        <x:v>Priest of Erastil</x:v>
      </x:c>
      <x:c r="H50" s="19" t="str">
        <x:v>Paizo / campaign</x:v>
      </x:c>
      <x:c r="I50" s="19" t="str">
        <x:v>World Anvil NPC article</x:v>
      </x:c>
      <x:c r="J50" s="19" t="str">
        <x:v>Last known alive.</x:v>
      </x:c>
      <x:c r="K50" s="38" t="n">
        <x:v>46006.708333333336</x:v>
      </x:c>
      <x:c r="L50" s="38" t="n">
        <x:f>IF(OR(D50&lt;&gt;"Yes",K50=""),"",K50+365)</x:f>
        <x:v>46371.708333333336</x:v>
      </x:c>
      <x:c r="M50" s="17" t="str">
        <x:f>IF(D50&lt;&gt;"Yes","N/A",IF(K50="","Date missing",IF(TODAY()&gt;=L50,"Review due",IF(TODAY()+90&gt;=L50,"Review soon","Current"))))</x:f>
        <x:v>Current</x:v>
      </x:c>
      <x:c r="N50" s="17" t="str">
        <x:v>No</x:v>
      </x:c>
      <x:c r="O50" s="19" t="str"/>
    </x:row>
    <x:row r="51">
      <x:c r="A51" s="17" t="str">
        <x:v>Jhofre Vascari</x:v>
      </x:c>
      <x:c r="B51" s="17" t="str">
        <x:v>Alive</x:v>
      </x:c>
      <x:c r="C51" s="17" t="str">
        <x:v>No</x:v>
      </x:c>
      <x:c r="D51" s="17" t="str">
        <x:v>No</x:v>
      </x:c>
      <x:c r="E51" s="18" t="str"/>
      <x:c r="F51" s="17" t="str">
        <x:v>Pitax</x:v>
      </x:c>
      <x:c r="G51" s="19" t="str">
        <x:v>Civic portfolio: Trade and River Commerce</x:v>
      </x:c>
      <x:c r="H51" s="19" t="str">
        <x:v>Paizo Companion Guide / campaign</x:v>
      </x:c>
      <x:c r="I51" s="19" t="str">
        <x:v>Pitax Article</x:v>
      </x:c>
      <x:c r="J51" s="19" t="str"/>
      <x:c r="K51" s="38"/>
      <x:c r="L51" s="38" t="str">
        <x:f>IF(OR(D51&lt;&gt;"Yes",K51=""),"",K51+365)</x:f>
      </x:c>
      <x:c r="M51" s="17" t="str">
        <x:f>IF(D51&lt;&gt;"Yes","N/A",IF(K51="","Date missing",IF(TODAY()&gt;=L51,"Review due",IF(TODAY()+90&gt;=L51,"Review soon","Current"))))</x:f>
        <x:v>N/A</x:v>
      </x:c>
      <x:c r="N51" s="17" t="str">
        <x:v>No</x:v>
      </x:c>
      <x:c r="O51" s="19" t="str"/>
    </x:row>
    <x:row r="52">
      <x:c r="A52" s="17" t="str">
        <x:v>Joravin Pyathe</x:v>
      </x:c>
      <x:c r="B52" s="17" t="str">
        <x:v>Alive</x:v>
      </x:c>
      <x:c r="C52" s="17" t="str">
        <x:v>No</x:v>
      </x:c>
      <x:c r="D52" s="17" t="str">
        <x:v>No</x:v>
      </x:c>
      <x:c r="E52" s="18" t="str"/>
      <x:c r="F52" s="17" t="str">
        <x:v>Pitax</x:v>
      </x:c>
      <x:c r="G52" s="19" t="str">
        <x:v>Civic portfolio: Harbor and Public Works</x:v>
      </x:c>
      <x:c r="H52" s="19" t="str">
        <x:v>Paizo Companion Guide / campaign</x:v>
      </x:c>
      <x:c r="I52" s="19" t="str">
        <x:v>Pitax Article</x:v>
      </x:c>
      <x:c r="J52" s="19" t="str"/>
      <x:c r="K52" s="38"/>
      <x:c r="L52" s="38" t="str">
        <x:f>IF(OR(D52&lt;&gt;"Yes",K52=""),"",K52+365)</x:f>
      </x:c>
      <x:c r="M52" s="17" t="str">
        <x:f>IF(D52&lt;&gt;"Yes","N/A",IF(K52="","Date missing",IF(TODAY()&gt;=L52,"Review due",IF(TODAY()+90&gt;=L52,"Review soon","Current"))))</x:f>
        <x:v>N/A</x:v>
      </x:c>
      <x:c r="N52" s="17" t="str">
        <x:v>No</x:v>
      </x:c>
      <x:c r="O52" s="19" t="str"/>
    </x:row>
    <x:row r="53">
      <x:c r="A53" s="17" t="str">
        <x:v>Jubilost Narthropple</x:v>
      </x:c>
      <x:c r="B53" s="17" t="str">
        <x:v>Alive</x:v>
      </x:c>
      <x:c r="C53" s="17" t="str">
        <x:v>No</x:v>
      </x:c>
      <x:c r="D53" s="17" t="str">
        <x:v>Yes</x:v>
      </x:c>
      <x:c r="E53" s="18" t="str">
        <x:v>https://www.worldanvil.com/w/inner-sea-region-bobzap66/a/jubilost-narthropple-person</x:v>
      </x:c>
      <x:c r="F53" s="17" t="str">
        <x:v>Republic</x:v>
      </x:c>
      <x:c r="G53" s="19" t="str">
        <x:v>Explorer, author, and alchemist</x:v>
      </x:c>
      <x:c r="H53" s="19" t="str">
        <x:v>Paizo / campaign</x:v>
      </x:c>
      <x:c r="I53" s="19" t="str">
        <x:v>World Anvil NPC article</x:v>
      </x:c>
      <x:c r="J53" s="19" t="str">
        <x:v>Last known alive.</x:v>
      </x:c>
      <x:c r="K53" s="38" t="n">
        <x:v>46006.708333333336</x:v>
      </x:c>
      <x:c r="L53" s="38" t="n">
        <x:f>IF(OR(D53&lt;&gt;"Yes",K53=""),"",K53+365)</x:f>
        <x:v>46371.708333333336</x:v>
      </x:c>
      <x:c r="M53" s="17" t="str">
        <x:f>IF(D53&lt;&gt;"Yes","N/A",IF(K53="","Date missing",IF(TODAY()&gt;=L53,"Review due",IF(TODAY()+90&gt;=L53,"Review soon","Current"))))</x:f>
        <x:v>Current</x:v>
      </x:c>
      <x:c r="N53" s="17" t="str">
        <x:v>Yes</x:v>
      </x:c>
      <x:c r="O53" s="19" t="str">
        <x:v>Assets\Portraits\Ruling Council\Jubilost Narthropple - Minister of the Treasury.png</x:v>
      </x:c>
    </x:row>
    <x:row r="54">
      <x:c r="A54" s="17" t="str">
        <x:v>Ka-Kekt</x:v>
      </x:c>
      <x:c r="B54" s="17" t="str">
        <x:v>Alive</x:v>
      </x:c>
      <x:c r="C54" s="17" t="str">
        <x:v>No</x:v>
      </x:c>
      <x:c r="D54" s="17" t="str">
        <x:v>No</x:v>
      </x:c>
      <x:c r="E54" s="18" t="str"/>
      <x:c r="F54" s="17" t="str">
        <x:v>Tok-Nikrat</x:v>
      </x:c>
      <x:c r="G54" s="19" t="str">
        <x:v>Senior Runner</x:v>
      </x:c>
      <x:c r="H54" s="19" t="str">
        <x:v>Paizo / campaign</x:v>
      </x:c>
      <x:c r="I54" s="19" t="str">
        <x:v>House of Measured Paths Article</x:v>
      </x:c>
      <x:c r="J54" s="19" t="str"/>
      <x:c r="K54" s="38"/>
      <x:c r="L54" s="38" t="str">
        <x:f>IF(OR(D54&lt;&gt;"Yes",K54=""),"",K54+365)</x:f>
      </x:c>
      <x:c r="M54" s="17" t="str">
        <x:f>IF(D54&lt;&gt;"Yes","N/A",IF(K54="","Date missing",IF(TODAY()&gt;=L54,"Review due",IF(TODAY()+90&gt;=L54,"Review soon","Current"))))</x:f>
        <x:v>N/A</x:v>
      </x:c>
      <x:c r="N54" s="17" t="str">
        <x:v>No</x:v>
      </x:c>
      <x:c r="O54" s="19" t="str"/>
    </x:row>
    <x:row r="55">
      <x:c r="A55" s="17" t="str">
        <x:v>Keeka Bottlesnap</x:v>
      </x:c>
      <x:c r="B55" s="17" t="str">
        <x:v>Alive</x:v>
      </x:c>
      <x:c r="C55" s="17" t="str">
        <x:v>No</x:v>
      </x:c>
      <x:c r="D55" s="17" t="str">
        <x:v>No</x:v>
      </x:c>
      <x:c r="E55" s="18" t="str"/>
      <x:c r="F55" s="17" t="str">
        <x:v>Greengripe</x:v>
      </x:c>
      <x:c r="G55" s="19" t="str">
        <x:v>Master Compounder, Fizzlesticks &amp; Co.</x:v>
      </x:c>
      <x:c r="H55" s="19" t="str">
        <x:v>Locally created</x:v>
      </x:c>
      <x:c r="I55" s="19" t="str">
        <x:v>Fizzlesticks &amp; Co. Article</x:v>
      </x:c>
      <x:c r="J55" s="19" t="str"/>
      <x:c r="K55" s="38"/>
      <x:c r="L55" s="38" t="str">
        <x:f>IF(OR(D55&lt;&gt;"Yes",K55=""),"",K55+365)</x:f>
      </x:c>
      <x:c r="M55" s="17" t="str">
        <x:f>IF(D55&lt;&gt;"Yes","N/A",IF(K55="","Date missing",IF(TODAY()&gt;=L55,"Review due",IF(TODAY()+90&gt;=L55,"Review soon","Current"))))</x:f>
        <x:v>N/A</x:v>
      </x:c>
      <x:c r="N55" s="17" t="str">
        <x:v>No</x:v>
      </x:c>
      <x:c r="O55" s="19" t="str"/>
    </x:row>
    <x:row r="56">
      <x:c r="A56" s="17" t="str">
        <x:v>Kell Harth</x:v>
      </x:c>
      <x:c r="B56" s="17" t="str">
        <x:v>Alive</x:v>
      </x:c>
      <x:c r="C56" s="17" t="str">
        <x:v>No</x:v>
      </x:c>
      <x:c r="D56" s="17" t="str">
        <x:v>No</x:v>
      </x:c>
      <x:c r="E56" s="18" t="str"/>
      <x:c r="F56" s="17" t="str">
        <x:v>Olegton</x:v>
      </x:c>
      <x:c r="G56" s="19" t="str">
        <x:v>Sail leader, Levet's Mill</x:v>
      </x:c>
      <x:c r="H56" s="19" t="str">
        <x:v>Locally created</x:v>
      </x:c>
      <x:c r="I56" s="19" t="str">
        <x:v>Levet's Mill Article</x:v>
      </x:c>
      <x:c r="J56" s="19" t="str">
        <x:v>Mill sail crew; Olegton has no water access.</x:v>
      </x:c>
      <x:c r="K56" s="38"/>
      <x:c r="L56" s="38" t="str">
        <x:f>IF(OR(D56&lt;&gt;"Yes",K56=""),"",K56+365)</x:f>
      </x:c>
      <x:c r="M56" s="17" t="str">
        <x:f>IF(D56&lt;&gt;"Yes","N/A",IF(K56="","Date missing",IF(TODAY()&gt;=L56,"Review due",IF(TODAY()+90&gt;=L56,"Review soon","Current"))))</x:f>
        <x:v>N/A</x:v>
      </x:c>
      <x:c r="N56" s="17" t="str">
        <x:v>No</x:v>
      </x:c>
      <x:c r="O56" s="19" t="str"/>
    </x:row>
    <x:row r="57">
      <x:c r="A57" s="17" t="str">
        <x:v>Kereek</x:v>
      </x:c>
      <x:c r="B57" s="17" t="str">
        <x:v>Alive</x:v>
      </x:c>
      <x:c r="C57" s="17" t="str">
        <x:v>No</x:v>
      </x:c>
      <x:c r="D57" s="17" t="str">
        <x:v>Yes</x:v>
      </x:c>
      <x:c r="E57" s="18" t="str">
        <x:v>https://www.worldanvil.com/w/inner-sea-region-bobzap66/a/kereek-person</x:v>
      </x:c>
      <x:c r="F57" s="17" t="str">
        <x:v>Sootscale Valley</x:v>
      </x:c>
      <x:c r="G57" s="19" t="str">
        <x:v>Chief of the Sootscale kobolds</x:v>
      </x:c>
      <x:c r="H57" s="19" t="str">
        <x:v>Paizo / campaign</x:v>
      </x:c>
      <x:c r="I57" s="19" t="str">
        <x:v>Sessions 18–19 Summaries; Velka's Riverside Shrine Article</x:v>
      </x:c>
      <x:c r="J57" s="19" t="str">
        <x:v>Succeeded retired Chief Sootscale.</x:v>
      </x:c>
      <x:c r="K57" s="38" t="n">
        <x:v>46230.666666666664</x:v>
      </x:c>
      <x:c r="L57" s="38" t="n">
        <x:f>IF(OR(D57&lt;&gt;"Yes",K57=""),"",K57+365)</x:f>
        <x:v>46595.666666666664</x:v>
      </x:c>
      <x:c r="M57" s="17" t="str">
        <x:f>IF(D57&lt;&gt;"Yes","N/A",IF(K57="","Date missing",IF(TODAY()&gt;=L57,"Review due",IF(TODAY()+90&gt;=L57,"Review soon","Current"))))</x:f>
        <x:v>Current</x:v>
      </x:c>
      <x:c r="N57" s="17" t="str">
        <x:v>No</x:v>
      </x:c>
      <x:c r="O57" s="19" t="str"/>
    </x:row>
    <x:row r="58">
      <x:c r="A58" s="17" t="str">
        <x:v>Kesten Garess</x:v>
      </x:c>
      <x:c r="B58" s="17" t="str">
        <x:v>Alive</x:v>
      </x:c>
      <x:c r="C58" s="17" t="str">
        <x:v>No</x:v>
      </x:c>
      <x:c r="D58" s="17" t="str">
        <x:v>Yes</x:v>
      </x:c>
      <x:c r="E58" s="18" t="str">
        <x:v>https://www.worldanvil.com/w/inner-sea-region-bobzap66/a/kesten-garess-person</x:v>
      </x:c>
      <x:c r="F58" s="17" t="str">
        <x:v>Republic</x:v>
      </x:c>
      <x:c r="G58" s="19" t="str">
        <x:v>Military officer and civic servant</x:v>
      </x:c>
      <x:c r="H58" s="19" t="str">
        <x:v>Paizo / campaign</x:v>
      </x:c>
      <x:c r="I58" s="19" t="str">
        <x:v>World Anvil NPC article</x:v>
      </x:c>
      <x:c r="J58" s="19" t="str">
        <x:v>Last known alive.</x:v>
      </x:c>
      <x:c r="K58" s="38" t="n">
        <x:v>46006.708333333336</x:v>
      </x:c>
      <x:c r="L58" s="38" t="n">
        <x:f>IF(OR(D58&lt;&gt;"Yes",K58=""),"",K58+365)</x:f>
        <x:v>46371.708333333336</x:v>
      </x:c>
      <x:c r="M58" s="17" t="str">
        <x:f>IF(D58&lt;&gt;"Yes","N/A",IF(K58="","Date missing",IF(TODAY()&gt;=L58,"Review due",IF(TODAY()+90&gt;=L58,"Review soon","Current"))))</x:f>
        <x:v>Current</x:v>
      </x:c>
      <x:c r="N58" s="17" t="str">
        <x:v>No</x:v>
      </x:c>
      <x:c r="O58" s="19" t="str"/>
    </x:row>
    <x:row r="59">
      <x:c r="A59" s="17" t="str">
        <x:v>Ket-Kesh</x:v>
      </x:c>
      <x:c r="B59" s="17" t="str">
        <x:v>Alive</x:v>
      </x:c>
      <x:c r="C59" s="17" t="str">
        <x:v>No</x:v>
      </x:c>
      <x:c r="D59" s="17" t="str">
        <x:v>No</x:v>
      </x:c>
      <x:c r="E59" s="18" t="str"/>
      <x:c r="F59" s="17" t="str">
        <x:v>Tok-Nikrat</x:v>
      </x:c>
      <x:c r="G59" s="19" t="str">
        <x:v>Night listener, the Whispering Step</x:v>
      </x:c>
      <x:c r="H59" s="19" t="str">
        <x:v>Locally created</x:v>
      </x:c>
      <x:c r="I59" s="19" t="str">
        <x:v>The Whispering Step Article</x:v>
      </x:c>
      <x:c r="J59" s="19" t="str"/>
      <x:c r="K59" s="38"/>
      <x:c r="L59" s="38" t="str">
        <x:f>IF(OR(D59&lt;&gt;"Yes",K59=""),"",K59+365)</x:f>
      </x:c>
      <x:c r="M59" s="17" t="str">
        <x:f>IF(D59&lt;&gt;"Yes","N/A",IF(K59="","Date missing",IF(TODAY()&gt;=L59,"Review due",IF(TODAY()+90&gt;=L59,"Review soon","Current"))))</x:f>
        <x:v>N/A</x:v>
      </x:c>
      <x:c r="N59" s="17" t="str">
        <x:v>No</x:v>
      </x:c>
      <x:c r="O59" s="19" t="str"/>
    </x:row>
    <x:row r="60">
      <x:c r="A60" s="17" t="str">
        <x:v>Kikki the Reedwhisper</x:v>
      </x:c>
      <x:c r="B60" s="17" t="str">
        <x:v>Alive</x:v>
      </x:c>
      <x:c r="C60" s="17" t="str">
        <x:v>No</x:v>
      </x:c>
      <x:c r="D60" s="17" t="str">
        <x:v>No</x:v>
      </x:c>
      <x:c r="E60" s="18" t="str"/>
      <x:c r="F60" s="17" t="str">
        <x:v>Sootscale Valley</x:v>
      </x:c>
      <x:c r="G60" s="19" t="str">
        <x:v>Shrine attendant and local religious figure</x:v>
      </x:c>
      <x:c r="H60" s="19" t="str">
        <x:v>Locally developed</x:v>
      </x:c>
      <x:c r="I60" s="19" t="str">
        <x:v>Velka's Riverside Shrine Article</x:v>
      </x:c>
      <x:c r="J60" s="19" t="str"/>
      <x:c r="K60" s="38"/>
      <x:c r="L60" s="38" t="str">
        <x:f>IF(OR(D60&lt;&gt;"Yes",K60=""),"",K60+365)</x:f>
      </x:c>
      <x:c r="M60" s="17" t="str">
        <x:f>IF(D60&lt;&gt;"Yes","N/A",IF(K60="","Date missing",IF(TODAY()&gt;=L60,"Review due",IF(TODAY()+90&gt;=L60,"Review soon","Current"))))</x:f>
        <x:v>N/A</x:v>
      </x:c>
      <x:c r="N60" s="17" t="str">
        <x:v>No</x:v>
      </x:c>
      <x:c r="O60" s="19" t="str"/>
    </x:row>
    <x:row r="61">
      <x:c r="A61" s="17" t="str">
        <x:v>King Castruccio Irovetti</x:v>
      </x:c>
      <x:c r="B61" s="17" t="str">
        <x:v>Dead</x:v>
      </x:c>
      <x:c r="C61" s="17" t="str">
        <x:v>Yes</x:v>
      </x:c>
      <x:c r="D61" s="17" t="str">
        <x:v>Yes</x:v>
      </x:c>
      <x:c r="E61" s="18" t="str">
        <x:v>https://www.worldanvil.com/w/inner-sea-region-bobzap66/a/king-castruccio-irrovetti-person</x:v>
      </x:c>
      <x:c r="F61" s="17" t="str">
        <x:v>Pitax</x:v>
      </x:c>
      <x:c r="G61" s="19" t="str">
        <x:v>Former king of Pitax</x:v>
      </x:c>
      <x:c r="H61" s="19" t="str">
        <x:v>Paizo / campaign</x:v>
      </x:c>
      <x:c r="I61" s="19" t="str">
        <x:v>Session 58 Summary; Pitax Article</x:v>
      </x:c>
      <x:c r="J61" s="19" t="str">
        <x:v>Killed after surrendering beneath the House of a Hundred Doors.</x:v>
      </x:c>
      <x:c r="K61" s="38"/>
      <x:c r="L61" s="38" t="str">
        <x:f>IF(OR(D61&lt;&gt;"Yes",K61=""),"",K61+365)</x:f>
      </x:c>
      <x:c r="M61" s="17" t="str">
        <x:f>IF(D61&lt;&gt;"Yes","N/A",IF(K61="","Date missing",IF(TODAY()&gt;=L61,"Review due",IF(TODAY()+90&gt;=L61,"Review soon","Current"))))</x:f>
        <x:v>Date missing</x:v>
      </x:c>
      <x:c r="N61" s="17" t="str">
        <x:v>No</x:v>
      </x:c>
      <x:c r="O61" s="19" t="str"/>
    </x:row>
    <x:row r="62">
      <x:c r="A62" s="17" t="str">
        <x:v>King Vesket</x:v>
      </x:c>
      <x:c r="B62" s="17" t="str">
        <x:v>Alive</x:v>
      </x:c>
      <x:c r="C62" s="17" t="str">
        <x:v>No</x:v>
      </x:c>
      <x:c r="D62" s="17" t="str">
        <x:v>Yes</x:v>
      </x:c>
      <x:c r="E62" s="18" t="str">
        <x:v>https://www.worldanvil.com/w/inner-sea-region-bobzap66/a/king-vesket-person</x:v>
      </x:c>
      <x:c r="F62" s="17" t="str">
        <x:v>Longtail Island</x:v>
      </x:c>
      <x:c r="G62" s="19" t="str">
        <x:v>Former king; current mayor</x:v>
      </x:c>
      <x:c r="H62" s="19" t="str">
        <x:v>Paizo / campaign-expanded</x:v>
      </x:c>
      <x:c r="I62" s="19" t="str">
        <x:v>Tailforge Atelier Article; World Anvil NPC article</x:v>
      </x:c>
      <x:c r="J62" s="19" t="str">
        <x:v>Now generally styled Mayor Vesket.</x:v>
      </x:c>
      <x:c r="K62" s="38" t="n">
        <x:v>45919.666666666664</x:v>
      </x:c>
      <x:c r="L62" s="38" t="n">
        <x:f>IF(OR(D62&lt;&gt;"Yes",K62=""),"",K62+365)</x:f>
        <x:v>46284.666666666664</x:v>
      </x:c>
      <x:c r="M62" s="17" t="str">
        <x:f>IF(D62&lt;&gt;"Yes","N/A",IF(K62="","Date missing",IF(TODAY()&gt;=L62,"Review due",IF(TODAY()+90&gt;=L62,"Review soon","Current"))))</x:f>
        <x:v>Review soon</x:v>
      </x:c>
      <x:c r="N62" s="17" t="str">
        <x:v>No</x:v>
      </x:c>
      <x:c r="O62" s="19" t="str"/>
    </x:row>
    <x:row r="63">
      <x:c r="A63" s="17" t="str">
        <x:v>Kisandra Numesti</x:v>
      </x:c>
      <x:c r="B63" s="17" t="str">
        <x:v>Alive</x:v>
      </x:c>
      <x:c r="C63" s="17" t="str">
        <x:v>No</x:v>
      </x:c>
      <x:c r="D63" s="17" t="str">
        <x:v>Yes</x:v>
      </x:c>
      <x:c r="E63" s="18" t="str">
        <x:v>https://www.worldanvil.com/w/inner-sea-region-bobzap66/a/kisandra-numesti-person</x:v>
      </x:c>
      <x:c r="F63" s="17" t="str">
        <x:v>Fort Drelev / Tok-Nikrat</x:v>
      </x:c>
      <x:c r="G63" s="19" t="str">
        <x:v>Numesti heir and messenger</x:v>
      </x:c>
      <x:c r="H63" s="19" t="str">
        <x:v>Paizo / campaign</x:v>
      </x:c>
      <x:c r="I63" s="19" t="str">
        <x:v>Whispering Step Article; House of Measured Paths Article</x:v>
      </x:c>
      <x:c r="J63" s="19" t="str">
        <x:v>Reached Tok-Nikrat with warning of the attack on Tatzlford.</x:v>
      </x:c>
      <x:c r="K63" s="38" t="n">
        <x:v>45961.666666666664</x:v>
      </x:c>
      <x:c r="L63" s="38" t="n">
        <x:f>IF(OR(D63&lt;&gt;"Yes",K63=""),"",K63+365)</x:f>
        <x:v>46326.666666666664</x:v>
      </x:c>
      <x:c r="M63" s="17" t="str">
        <x:f>IF(D63&lt;&gt;"Yes","N/A",IF(K63="","Date missing",IF(TODAY()&gt;=L63,"Review due",IF(TODAY()+90&gt;=L63,"Review soon","Current"))))</x:f>
        <x:v>Review soon</x:v>
      </x:c>
      <x:c r="N63" s="17" t="str">
        <x:v>No</x:v>
      </x:c>
      <x:c r="O63" s="19" t="str"/>
    </x:row>
    <x:row r="64">
      <x:c r="A64" s="17" t="str">
        <x:v>Latricia Rezbin</x:v>
      </x:c>
      <x:c r="B64" s="17" t="str">
        <x:v>Alive</x:v>
      </x:c>
      <x:c r="C64" s="17" t="str">
        <x:v>No</x:v>
      </x:c>
      <x:c r="D64" s="17" t="str">
        <x:v>Yes</x:v>
      </x:c>
      <x:c r="E64" s="18" t="str">
        <x:v>https://www.worldanvil.com/w/inner-sea-region-bobzap66/a/latricia-rezbin-person</x:v>
      </x:c>
      <x:c r="F64" s="17" t="str">
        <x:v>Tatzlford</x:v>
      </x:c>
      <x:c r="G64" s="19" t="str">
        <x:v>Founder and civic leader</x:v>
      </x:c>
      <x:c r="H64" s="19" t="str">
        <x:v>Paizo / campaign</x:v>
      </x:c>
      <x:c r="I64" s="19" t="str">
        <x:v>World Anvil NPC article; Tatzlford references</x:v>
      </x:c>
      <x:c r="J64" s="19" t="str">
        <x:v>Last known alive.</x:v>
      </x:c>
      <x:c r="K64" s="38" t="n">
        <x:v>45919.666666666664</x:v>
      </x:c>
      <x:c r="L64" s="38" t="n">
        <x:f>IF(OR(D64&lt;&gt;"Yes",K64=""),"",K64+365)</x:f>
        <x:v>46284.666666666664</x:v>
      </x:c>
      <x:c r="M64" s="17" t="str">
        <x:f>IF(D64&lt;&gt;"Yes","N/A",IF(K64="","Date missing",IF(TODAY()&gt;=L64,"Review due",IF(TODAY()+90&gt;=L64,"Review soon","Current"))))</x:f>
        <x:v>Review soon</x:v>
      </x:c>
      <x:c r="N64" s="17" t="str">
        <x:v>No</x:v>
      </x:c>
      <x:c r="O64" s="19" t="str"/>
    </x:row>
    <x:row r="65">
      <x:c r="A65" s="17" t="str">
        <x:v>Leroy</x:v>
      </x:c>
      <x:c r="B65" s="17" t="str">
        <x:v>Unknown</x:v>
      </x:c>
      <x:c r="C65" s="17" t="str">
        <x:v>Unknown</x:v>
      </x:c>
      <x:c r="D65" s="17" t="str">
        <x:v>Yes</x:v>
      </x:c>
      <x:c r="E65" s="18" t="str">
        <x:v>https://www.worldanvil.com/w/inner-sea-region-bobzap66/a/leroy-person</x:v>
      </x:c>
      <x:c r="F65" s="17" t="str">
        <x:v>Unknown</x:v>
      </x:c>
      <x:c r="G65" s="19" t="str">
        <x:v>Campaign NPC</x:v>
      </x:c>
      <x:c r="H65" s="19" t="str">
        <x:v>Paizo / campaign</x:v>
      </x:c>
      <x:c r="I65" s="19" t="str">
        <x:v>World Anvil NPC article</x:v>
      </x:c>
      <x:c r="J65" s="19" t="str">
        <x:v>Status and primary location require article review.</x:v>
      </x:c>
      <x:c r="K65" s="38" t="n">
        <x:v>46047.708333333336</x:v>
      </x:c>
      <x:c r="L65" s="38" t="n">
        <x:f>IF(OR(D65&lt;&gt;"Yes",K65=""),"",K65+365)</x:f>
        <x:v>46412.708333333336</x:v>
      </x:c>
      <x:c r="M65" s="17" t="str">
        <x:f>IF(D65&lt;&gt;"Yes","N/A",IF(K65="","Date missing",IF(TODAY()&gt;=L65,"Review due",IF(TODAY()+90&gt;=L65,"Review soon","Current"))))</x:f>
        <x:v>Current</x:v>
      </x:c>
      <x:c r="N65" s="17" t="str">
        <x:v>No</x:v>
      </x:c>
      <x:c r="O65" s="19" t="str"/>
    </x:row>
    <x:row r="66">
      <x:c r="A66" s="17" t="str">
        <x:v>Linzi</x:v>
      </x:c>
      <x:c r="B66" s="17" t="str">
        <x:v>Alive</x:v>
      </x:c>
      <x:c r="C66" s="17" t="str">
        <x:v>No</x:v>
      </x:c>
      <x:c r="D66" s="17" t="str">
        <x:v>Yes</x:v>
      </x:c>
      <x:c r="E66" s="18" t="str">
        <x:v>https://www.worldanvil.com/w/inner-sea-region-bobzap66/a/linzi-person</x:v>
      </x:c>
      <x:c r="F66" s="17" t="str">
        <x:v>Thumpington</x:v>
      </x:c>
      <x:c r="G66" s="19" t="str">
        <x:v>Author, publisher, and public chronicler</x:v>
      </x:c>
      <x:c r="H66" s="19" t="str">
        <x:v>Paizo / campaign-expanded</x:v>
      </x:c>
      <x:c r="I66" s="19" t="str">
        <x:v>Lantern and Ledger Article; Free University Article</x:v>
      </x:c>
      <x:c r="J66" s="19" t="str">
        <x:v>Central figure in the Republic's publishing and scholarly record.</x:v>
      </x:c>
      <x:c r="K66" s="38" t="n">
        <x:v>45919.666666666664</x:v>
      </x:c>
      <x:c r="L66" s="38" t="n">
        <x:f>IF(OR(D66&lt;&gt;"Yes",K66=""),"",K66+365)</x:f>
        <x:v>46284.666666666664</x:v>
      </x:c>
      <x:c r="M66" s="17" t="str">
        <x:f>IF(D66&lt;&gt;"Yes","N/A",IF(K66="","Date missing",IF(TODAY()&gt;=L66,"Review due",IF(TODAY()+90&gt;=L66,"Review soon","Current"))))</x:f>
        <x:v>Review soon</x:v>
      </x:c>
      <x:c r="N66" s="17" t="str">
        <x:v>Yes</x:v>
      </x:c>
      <x:c r="O66" s="19" t="str">
        <x:v>Assets\Portraits\Ruling Council\Linzi - Minister of Communication.png</x:v>
      </x:c>
    </x:row>
    <x:row r="67">
      <x:c r="A67" s="17" t="str">
        <x:v>Lissa Tarmel</x:v>
      </x:c>
      <x:c r="B67" s="17" t="str">
        <x:v>Alive</x:v>
      </x:c>
      <x:c r="C67" s="17" t="str">
        <x:v>No</x:v>
      </x:c>
      <x:c r="D67" s="17" t="str">
        <x:v>No</x:v>
      </x:c>
      <x:c r="E67" s="18" t="str"/>
      <x:c r="F67" s="17" t="str">
        <x:v>Tatzlford</x:v>
      </x:c>
      <x:c r="G67" s="19" t="str">
        <x:v>Carpenter; Joined Hands guild member</x:v>
      </x:c>
      <x:c r="H67" s="19" t="str">
        <x:v>Locally created</x:v>
      </x:c>
      <x:c r="I67" s="19" t="str">
        <x:v>Guildhall of the Joined Hands Article</x:v>
      </x:c>
      <x:c r="J67" s="19" t="str"/>
      <x:c r="K67" s="38"/>
      <x:c r="L67" s="38" t="str">
        <x:f>IF(OR(D67&lt;&gt;"Yes",K67=""),"",K67+365)</x:f>
      </x:c>
      <x:c r="M67" s="17" t="str">
        <x:f>IF(D67&lt;&gt;"Yes","N/A",IF(K67="","Date missing",IF(TODAY()&gt;=L67,"Review due",IF(TODAY()+90&gt;=L67,"Review soon","Current"))))</x:f>
        <x:v>N/A</x:v>
      </x:c>
      <x:c r="N67" s="17" t="str">
        <x:v>No</x:v>
      </x:c>
      <x:c r="O67" s="19" t="str"/>
    </x:row>
    <x:row r="68">
      <x:c r="A68" s="17" t="str">
        <x:v>Loy Rezbin</x:v>
      </x:c>
      <x:c r="B68" s="17" t="str">
        <x:v>Alive</x:v>
      </x:c>
      <x:c r="C68" s="17" t="str">
        <x:v>No</x:v>
      </x:c>
      <x:c r="D68" s="17" t="str">
        <x:v>Yes</x:v>
      </x:c>
      <x:c r="E68" s="18" t="str">
        <x:v>https://www.worldanvil.com/w/inner-sea-region-bobzap66/a/loy-rezbin-person</x:v>
      </x:c>
      <x:c r="F68" s="17" t="str">
        <x:v>Tatzlford</x:v>
      </x:c>
      <x:c r="G68" s="19" t="str">
        <x:v>Founder and civic leader</x:v>
      </x:c>
      <x:c r="H68" s="19" t="str">
        <x:v>Paizo / campaign</x:v>
      </x:c>
      <x:c r="I68" s="19" t="str">
        <x:v>World Anvil NPC article; Tatzlford references</x:v>
      </x:c>
      <x:c r="J68" s="19" t="str">
        <x:v>Last known alive.</x:v>
      </x:c>
      <x:c r="K68" s="38" t="n">
        <x:v>45919.666666666664</x:v>
      </x:c>
      <x:c r="L68" s="38" t="n">
        <x:f>IF(OR(D68&lt;&gt;"Yes",K68=""),"",K68+365)</x:f>
        <x:v>46284.666666666664</x:v>
      </x:c>
      <x:c r="M68" s="17" t="str">
        <x:f>IF(D68&lt;&gt;"Yes","N/A",IF(K68="","Date missing",IF(TODAY()&gt;=L68,"Review due",IF(TODAY()+90&gt;=L68,"Review soon","Current"))))</x:f>
        <x:v>Review soon</x:v>
      </x:c>
      <x:c r="N68" s="17" t="str">
        <x:v>No</x:v>
      </x:c>
      <x:c r="O68" s="19" t="str"/>
    </x:row>
    <x:row r="69">
      <x:c r="A69" s="17" t="str">
        <x:v>Maegar Varn</x:v>
      </x:c>
      <x:c r="B69" s="17" t="str">
        <x:v>Alive</x:v>
      </x:c>
      <x:c r="C69" s="17" t="str">
        <x:v>No</x:v>
      </x:c>
      <x:c r="D69" s="17" t="str">
        <x:v>Yes</x:v>
      </x:c>
      <x:c r="E69" s="18" t="str">
        <x:v>https://www.worldanvil.com/w/inner-sea-region-bobzap66/a/maegar-varn-person</x:v>
      </x:c>
      <x:c r="F69" s="17" t="str">
        <x:v>Varnhold</x:v>
      </x:c>
      <x:c r="G69" s="19" t="str">
        <x:v>Founder and former ruler of Varnhold</x:v>
      </x:c>
      <x:c r="H69" s="19" t="str">
        <x:v>Paizo / campaign</x:v>
      </x:c>
      <x:c r="I69" s="19" t="str">
        <x:v>World Anvil NPC article</x:v>
      </x:c>
      <x:c r="J69" s="19" t="str">
        <x:v>Last known alive.</x:v>
      </x:c>
      <x:c r="K69" s="38" t="n">
        <x:v>45919.666666666664</x:v>
      </x:c>
      <x:c r="L69" s="38" t="n">
        <x:f>IF(OR(D69&lt;&gt;"Yes",K69=""),"",K69+365)</x:f>
        <x:v>46284.666666666664</x:v>
      </x:c>
      <x:c r="M69" s="17" t="str">
        <x:f>IF(D69&lt;&gt;"Yes","N/A",IF(K69="","Date missing",IF(TODAY()&gt;=L69,"Review due",IF(TODAY()+90&gt;=L69,"Review soon","Current"))))</x:f>
        <x:v>Review soon</x:v>
      </x:c>
      <x:c r="N69" s="17" t="str">
        <x:v>No</x:v>
      </x:c>
      <x:c r="O69" s="19" t="str"/>
    </x:row>
    <x:row r="70">
      <x:c r="A70" s="17" t="str">
        <x:v>Mara Olegsdottir</x:v>
      </x:c>
      <x:c r="B70" s="17" t="str">
        <x:v>Alive</x:v>
      </x:c>
      <x:c r="C70" s="17" t="str">
        <x:v>No</x:v>
      </x:c>
      <x:c r="D70" s="17" t="str">
        <x:v>No</x:v>
      </x:c>
      <x:c r="E70" s="18" t="str"/>
      <x:c r="F70" s="17" t="str">
        <x:v>Willowfen</x:v>
      </x:c>
      <x:c r="G70" s="19" t="str">
        <x:v>Owner and provisioner, Willowfen General</x:v>
      </x:c>
      <x:c r="H70" s="19" t="str">
        <x:v>Locally created</x:v>
      </x:c>
      <x:c r="I70" s="19" t="str">
        <x:v>Willowfen General Article</x:v>
      </x:c>
      <x:c r="J70" s="19" t="str"/>
      <x:c r="K70" s="38"/>
      <x:c r="L70" s="38" t="str">
        <x:f>IF(OR(D70&lt;&gt;"Yes",K70=""),"",K70+365)</x:f>
      </x:c>
      <x:c r="M70" s="17" t="str">
        <x:f>IF(D70&lt;&gt;"Yes","N/A",IF(K70="","Date missing",IF(TODAY()&gt;=L70,"Review due",IF(TODAY()+90&gt;=L70,"Review soon","Current"))))</x:f>
        <x:v>N/A</x:v>
      </x:c>
      <x:c r="N70" s="17" t="str">
        <x:v>No</x:v>
      </x:c>
      <x:c r="O70" s="19" t="str"/>
    </x:row>
    <x:row r="71">
      <x:c r="A71" s="17" t="str">
        <x:v>Mara Venn</x:v>
      </x:c>
      <x:c r="B71" s="17" t="str">
        <x:v>Alive</x:v>
      </x:c>
      <x:c r="C71" s="17" t="str">
        <x:v>No</x:v>
      </x:c>
      <x:c r="D71" s="17" t="str">
        <x:v>No</x:v>
      </x:c>
      <x:c r="E71" s="18" t="str"/>
      <x:c r="F71" s="17" t="str">
        <x:v>Thumpington</x:v>
      </x:c>
      <x:c r="G71" s="19" t="str">
        <x:v>Managing Editor, Lantern and Ledger</x:v>
      </x:c>
      <x:c r="H71" s="19" t="str">
        <x:v>Locally created</x:v>
      </x:c>
      <x:c r="I71" s="19" t="str">
        <x:v>Lantern and Ledger Article</x:v>
      </x:c>
      <x:c r="J71" s="19" t="str"/>
      <x:c r="K71" s="38"/>
      <x:c r="L71" s="38" t="str">
        <x:f>IF(OR(D71&lt;&gt;"Yes",K71=""),"",K71+365)</x:f>
      </x:c>
      <x:c r="M71" s="17" t="str">
        <x:f>IF(D71&lt;&gt;"Yes","N/A",IF(K71="","Date missing",IF(TODAY()&gt;=L71,"Review due",IF(TODAY()+90&gt;=L71,"Review soon","Current"))))</x:f>
        <x:v>N/A</x:v>
      </x:c>
      <x:c r="N71" s="17" t="str">
        <x:v>No</x:v>
      </x:c>
      <x:c r="O71" s="19" t="str"/>
    </x:row>
    <x:row r="72">
      <x:c r="A72" s="17" t="str">
        <x:v>Marek Hollowreed</x:v>
      </x:c>
      <x:c r="B72" s="17" t="str">
        <x:v>Alive</x:v>
      </x:c>
      <x:c r="C72" s="17" t="str">
        <x:v>No</x:v>
      </x:c>
      <x:c r="D72" s="17" t="str">
        <x:v>No</x:v>
      </x:c>
      <x:c r="E72" s="18" t="str"/>
      <x:c r="F72" s="17" t="str">
        <x:v>Thumpington</x:v>
      </x:c>
      <x:c r="G72" s="19" t="str">
        <x:v>Apprenticeship coordinator, Tristian's Dawn</x:v>
      </x:c>
      <x:c r="H72" s="19" t="str">
        <x:v>Locally created</x:v>
      </x:c>
      <x:c r="I72" s="19" t="str">
        <x:v>Tristian's Dawn Article</x:v>
      </x:c>
      <x:c r="J72" s="19" t="str"/>
      <x:c r="K72" s="38"/>
      <x:c r="L72" s="38" t="str">
        <x:f>IF(OR(D72&lt;&gt;"Yes",K72=""),"",K72+365)</x:f>
      </x:c>
      <x:c r="M72" s="17" t="str">
        <x:f>IF(D72&lt;&gt;"Yes","N/A",IF(K72="","Date missing",IF(TODAY()&gt;=L72,"Review due",IF(TODAY()+90&gt;=L72,"Review soon","Current"))))</x:f>
        <x:v>N/A</x:v>
      </x:c>
      <x:c r="N72" s="17" t="str">
        <x:v>No</x:v>
      </x:c>
      <x:c r="O72" s="19" t="str"/>
    </x:row>
    <x:row r="73">
      <x:c r="A73" s="17" t="str">
        <x:v>Marna Drell</x:v>
      </x:c>
      <x:c r="B73" s="17" t="str">
        <x:v>Alive</x:v>
      </x:c>
      <x:c r="C73" s="17" t="str">
        <x:v>No</x:v>
      </x:c>
      <x:c r="D73" s="17" t="str">
        <x:v>No</x:v>
      </x:c>
      <x:c r="E73" s="18" t="str"/>
      <x:c r="F73" s="17" t="str">
        <x:v>Embeth Hall</x:v>
      </x:c>
      <x:c r="G73" s="19" t="str">
        <x:v>Proprietor of the White Lantern</x:v>
      </x:c>
      <x:c r="H73" s="19" t="str">
        <x:v>Player-source idea / locally expanded</x:v>
      </x:c>
      <x:c r="I73" s="19" t="str">
        <x:v>The White Lantern Article</x:v>
      </x:c>
      <x:c r="J73" s="19" t="str"/>
      <x:c r="K73" s="38"/>
      <x:c r="L73" s="38" t="str">
        <x:f>IF(OR(D73&lt;&gt;"Yes",K73=""),"",K73+365)</x:f>
      </x:c>
      <x:c r="M73" s="17" t="str">
        <x:f>IF(D73&lt;&gt;"Yes","N/A",IF(K73="","Date missing",IF(TODAY()&gt;=L73,"Review due",IF(TODAY()+90&gt;=L73,"Review soon","Current"))))</x:f>
        <x:v>N/A</x:v>
      </x:c>
      <x:c r="N73" s="17" t="str">
        <x:v>No</x:v>
      </x:c>
      <x:c r="O73" s="19" t="str"/>
    </x:row>
    <x:row r="74">
      <x:c r="A74" s="17" t="str">
        <x:v>Marrek Holt</x:v>
      </x:c>
      <x:c r="B74" s="17" t="str">
        <x:v>Alive</x:v>
      </x:c>
      <x:c r="C74" s="17" t="str">
        <x:v>No</x:v>
      </x:c>
      <x:c r="D74" s="17" t="str">
        <x:v>No</x:v>
      </x:c>
      <x:c r="E74" s="18" t="str"/>
      <x:c r="F74" s="17" t="str">
        <x:v>Fort Tuskwater</x:v>
      </x:c>
      <x:c r="G74" s="19" t="str">
        <x:v>Proprietor of the Briny Wake</x:v>
      </x:c>
      <x:c r="H74" s="19" t="str">
        <x:v>Player-source idea / locally expanded</x:v>
      </x:c>
      <x:c r="I74" s="19" t="str">
        <x:v>The Briny Wake Article</x:v>
      </x:c>
      <x:c r="J74" s="19" t="str"/>
      <x:c r="K74" s="38"/>
      <x:c r="L74" s="38" t="str">
        <x:f>IF(OR(D74&lt;&gt;"Yes",K74=""),"",K74+365)</x:f>
      </x:c>
      <x:c r="M74" s="17" t="str">
        <x:f>IF(D74&lt;&gt;"Yes","N/A",IF(K74="","Date missing",IF(TODAY()&gt;=L74,"Review due",IF(TODAY()+90&gt;=L74,"Review soon","Current"))))</x:f>
        <x:v>N/A</x:v>
      </x:c>
      <x:c r="N74" s="17" t="str">
        <x:v>No</x:v>
      </x:c>
      <x:c r="O74" s="19" t="str"/>
    </x:row>
    <x:row r="75">
      <x:c r="A75" s="17" t="str">
        <x:v>Marris Vale</x:v>
      </x:c>
      <x:c r="B75" s="17" t="str">
        <x:v>Alive</x:v>
      </x:c>
      <x:c r="C75" s="17" t="str">
        <x:v>No</x:v>
      </x:c>
      <x:c r="D75" s="17" t="str">
        <x:v>No</x:v>
      </x:c>
      <x:c r="E75" s="18" t="str"/>
      <x:c r="F75" s="17" t="str">
        <x:v>Tok-Nikrat</x:v>
      </x:c>
      <x:c r="G75" s="19" t="str">
        <x:v>Ledger clerk, House of Measured Paths</x:v>
      </x:c>
      <x:c r="H75" s="19" t="str">
        <x:v>Locally created</x:v>
      </x:c>
      <x:c r="I75" s="19" t="str">
        <x:v>House of Measured Paths Article</x:v>
      </x:c>
      <x:c r="J75" s="19" t="str"/>
      <x:c r="K75" s="38"/>
      <x:c r="L75" s="38" t="str">
        <x:f>IF(OR(D75&lt;&gt;"Yes",K75=""),"",K75+365)</x:f>
      </x:c>
      <x:c r="M75" s="17" t="str">
        <x:f>IF(D75&lt;&gt;"Yes","N/A",IF(K75="","Date missing",IF(TODAY()&gt;=L75,"Review due",IF(TODAY()+90&gt;=L75,"Review soon","Current"))))</x:f>
        <x:v>N/A</x:v>
      </x:c>
      <x:c r="N75" s="17" t="str">
        <x:v>No</x:v>
      </x:c>
      <x:c r="O75" s="19" t="str"/>
    </x:row>
    <x:row r="76">
      <x:c r="A76" s="17" t="str">
        <x:v>Mek-Mek the Copperhand</x:v>
      </x:c>
      <x:c r="B76" s="17" t="str">
        <x:v>Alive</x:v>
      </x:c>
      <x:c r="C76" s="17" t="str">
        <x:v>No</x:v>
      </x:c>
      <x:c r="D76" s="17" t="str">
        <x:v>No</x:v>
      </x:c>
      <x:c r="E76" s="18" t="str"/>
      <x:c r="F76" s="17" t="str">
        <x:v>Sootscale Valley</x:v>
      </x:c>
      <x:c r="G76" s="19" t="str">
        <x:v>Kobold traveler and civic figure</x:v>
      </x:c>
      <x:c r="H76" s="19" t="str">
        <x:v>Player-source / campaign</x:v>
      </x:c>
      <x:c r="I76" s="19" t="str">
        <x:v>Velka's Riverside Shrine Article</x:v>
      </x:c>
      <x:c r="J76" s="19" t="str">
        <x:v>Distinct from Mikmek.</x:v>
      </x:c>
      <x:c r="K76" s="38"/>
      <x:c r="L76" s="38" t="str">
        <x:f>IF(OR(D76&lt;&gt;"Yes",K76=""),"",K76+365)</x:f>
      </x:c>
      <x:c r="M76" s="17" t="str">
        <x:f>IF(D76&lt;&gt;"Yes","N/A",IF(K76="","Date missing",IF(TODAY()&gt;=L76,"Review due",IF(TODAY()+90&gt;=L76,"Review soon","Current"))))</x:f>
        <x:v>N/A</x:v>
      </x:c>
      <x:c r="N76" s="17" t="str">
        <x:v>No</x:v>
      </x:c>
      <x:c r="O76" s="19" t="str"/>
    </x:row>
    <x:row r="77">
      <x:c r="A77" s="17" t="str">
        <x:v>Melianse</x:v>
      </x:c>
      <x:c r="B77" s="17" t="str">
        <x:v>Alive</x:v>
      </x:c>
      <x:c r="C77" s="17" t="str">
        <x:v>No</x:v>
      </x:c>
      <x:c r="D77" s="17" t="str">
        <x:v>Yes</x:v>
      </x:c>
      <x:c r="E77" s="18" t="str">
        <x:v>https://www.worldanvil.com/w/inner-sea-region-bobzap66/a/melianse-person</x:v>
      </x:c>
      <x:c r="F77" s="17" t="str">
        <x:v>Narlmarches</x:v>
      </x:c>
      <x:c r="G77" s="19" t="str">
        <x:v>Nereid</x:v>
      </x:c>
      <x:c r="H77" s="19" t="str">
        <x:v>Paizo / campaign</x:v>
      </x:c>
      <x:c r="I77" s="19" t="str">
        <x:v>World Anvil NPC article</x:v>
      </x:c>
      <x:c r="J77" s="19" t="str">
        <x:v>Last known alive.</x:v>
      </x:c>
      <x:c r="K77" s="38" t="n">
        <x:v>45919.666666666664</x:v>
      </x:c>
      <x:c r="L77" s="38" t="n">
        <x:f>IF(OR(D77&lt;&gt;"Yes",K77=""),"",K77+365)</x:f>
        <x:v>46284.666666666664</x:v>
      </x:c>
      <x:c r="M77" s="17" t="str">
        <x:f>IF(D77&lt;&gt;"Yes","N/A",IF(K77="","Date missing",IF(TODAY()&gt;=L77,"Review due",IF(TODAY()+90&gt;=L77,"Review soon","Current"))))</x:f>
        <x:v>Review soon</x:v>
      </x:c>
      <x:c r="N77" s="17" t="str">
        <x:v>No</x:v>
      </x:c>
      <x:c r="O77" s="19" t="str"/>
    </x:row>
    <x:row r="78">
      <x:c r="A78" s="17" t="str">
        <x:v>Mira Volen</x:v>
      </x:c>
      <x:c r="B78" s="17" t="str">
        <x:v>Alive</x:v>
      </x:c>
      <x:c r="C78" s="17" t="str">
        <x:v>No</x:v>
      </x:c>
      <x:c r="D78" s="17" t="str">
        <x:v>No</x:v>
      </x:c>
      <x:c r="E78" s="18" t="str"/>
      <x:c r="F78" s="17" t="str">
        <x:v>Fort Serenko</x:v>
      </x:c>
      <x:c r="G78" s="19" t="str">
        <x:v>Clerk of Marks, Fort Serenko Lumberworks</x:v>
      </x:c>
      <x:c r="H78" s="19" t="str">
        <x:v>Locally created</x:v>
      </x:c>
      <x:c r="I78" s="19" t="str">
        <x:v>Fort Serenko Lumberworks Article</x:v>
      </x:c>
      <x:c r="J78" s="19" t="str"/>
      <x:c r="K78" s="38"/>
      <x:c r="L78" s="38" t="str">
        <x:f>IF(OR(D78&lt;&gt;"Yes",K78=""),"",K78+365)</x:f>
      </x:c>
      <x:c r="M78" s="17" t="str">
        <x:f>IF(D78&lt;&gt;"Yes","N/A",IF(K78="","Date missing",IF(TODAY()&gt;=L78,"Review due",IF(TODAY()+90&gt;=L78,"Review soon","Current"))))</x:f>
        <x:v>N/A</x:v>
      </x:c>
      <x:c r="N78" s="17" t="str">
        <x:v>No</x:v>
      </x:c>
      <x:c r="O78" s="19" t="str"/>
    </x:row>
    <x:row r="79">
      <x:c r="A79" s="17" t="str">
        <x:v>Nessa Crowfield</x:v>
      </x:c>
      <x:c r="B79" s="17" t="str">
        <x:v>Alive</x:v>
      </x:c>
      <x:c r="C79" s="17" t="str">
        <x:v>No</x:v>
      </x:c>
      <x:c r="D79" s="17" t="str">
        <x:v>No</x:v>
      </x:c>
      <x:c r="E79" s="18" t="str"/>
      <x:c r="F79" s="17" t="str">
        <x:v>Olegton</x:v>
      </x:c>
      <x:c r="G79" s="19" t="str">
        <x:v>Grain clerk, Levet's Mill</x:v>
      </x:c>
      <x:c r="H79" s="19" t="str">
        <x:v>Locally created</x:v>
      </x:c>
      <x:c r="I79" s="19" t="str">
        <x:v>Levet's Mill Article</x:v>
      </x:c>
      <x:c r="J79" s="19" t="str"/>
      <x:c r="K79" s="38"/>
      <x:c r="L79" s="38" t="str">
        <x:f>IF(OR(D79&lt;&gt;"Yes",K79=""),"",K79+365)</x:f>
      </x:c>
      <x:c r="M79" s="17" t="str">
        <x:f>IF(D79&lt;&gt;"Yes","N/A",IF(K79="","Date missing",IF(TODAY()&gt;=L79,"Review due",IF(TODAY()+90&gt;=L79,"Review soon","Current"))))</x:f>
        <x:v>N/A</x:v>
      </x:c>
      <x:c r="N79" s="17" t="str">
        <x:v>No</x:v>
      </x:c>
      <x:c r="O79" s="19" t="str"/>
    </x:row>
    <x:row r="80">
      <x:c r="A80" s="17" t="str">
        <x:v>Nessa Vale</x:v>
      </x:c>
      <x:c r="B80" s="17" t="str">
        <x:v>Alive</x:v>
      </x:c>
      <x:c r="C80" s="17" t="str">
        <x:v>No</x:v>
      </x:c>
      <x:c r="D80" s="17" t="str">
        <x:v>No</x:v>
      </x:c>
      <x:c r="E80" s="18" t="str"/>
      <x:c r="F80" s="17" t="str">
        <x:v>Tatzlford</x:v>
      </x:c>
      <x:c r="G80" s="19" t="str">
        <x:v>Clerk, Guildhall of the Joined Hands</x:v>
      </x:c>
      <x:c r="H80" s="19" t="str">
        <x:v>Locally created</x:v>
      </x:c>
      <x:c r="I80" s="19" t="str">
        <x:v>Guildhall of the Joined Hands Article</x:v>
      </x:c>
      <x:c r="J80" s="19" t="str"/>
      <x:c r="K80" s="38"/>
      <x:c r="L80" s="38" t="str">
        <x:f>IF(OR(D80&lt;&gt;"Yes",K80=""),"",K80+365)</x:f>
      </x:c>
      <x:c r="M80" s="17" t="str">
        <x:f>IF(D80&lt;&gt;"Yes","N/A",IF(K80="","Date missing",IF(TODAY()&gt;=L80,"Review due",IF(TODAY()+90&gt;=L80,"Review soon","Current"))))</x:f>
        <x:v>N/A</x:v>
      </x:c>
      <x:c r="N80" s="17" t="str">
        <x:v>No</x:v>
      </x:c>
      <x:c r="O80" s="19" t="str"/>
    </x:row>
    <x:row r="81">
      <x:c r="A81" s="17" t="str">
        <x:v>Nik-Takka</x:v>
      </x:c>
      <x:c r="B81" s="17" t="str">
        <x:v>Alive</x:v>
      </x:c>
      <x:c r="C81" s="17" t="str">
        <x:v>No</x:v>
      </x:c>
      <x:c r="D81" s="17" t="str">
        <x:v>No</x:v>
      </x:c>
      <x:c r="E81" s="18" t="str"/>
      <x:c r="F81" s="17" t="str">
        <x:v>Tok-Nikrat</x:v>
      </x:c>
      <x:c r="G81" s="19" t="str">
        <x:v>Keeper of Paths, House of Measured Paths</x:v>
      </x:c>
      <x:c r="H81" s="19" t="str">
        <x:v>Locally created</x:v>
      </x:c>
      <x:c r="I81" s="19" t="str">
        <x:v>House of Measured Paths Article</x:v>
      </x:c>
      <x:c r="J81" s="19" t="str"/>
      <x:c r="K81" s="38"/>
      <x:c r="L81" s="38" t="str">
        <x:f>IF(OR(D81&lt;&gt;"Yes",K81=""),"",K81+365)</x:f>
      </x:c>
      <x:c r="M81" s="17" t="str">
        <x:f>IF(D81&lt;&gt;"Yes","N/A",IF(K81="","Date missing",IF(TODAY()&gt;=L81,"Review due",IF(TODAY()+90&gt;=L81,"Review soon","Current"))))</x:f>
        <x:v>N/A</x:v>
      </x:c>
      <x:c r="N81" s="17" t="str">
        <x:v>No</x:v>
      </x:c>
      <x:c r="O81" s="19" t="str"/>
    </x:row>
    <x:row r="82">
      <x:c r="A82" s="17" t="str">
        <x:v>Nilak</x:v>
      </x:c>
      <x:c r="B82" s="17" t="str">
        <x:v>Alive</x:v>
      </x:c>
      <x:c r="C82" s="17" t="str">
        <x:v>No</x:v>
      </x:c>
      <x:c r="D82" s="17" t="str">
        <x:v>Yes</x:v>
      </x:c>
      <x:c r="E82" s="18" t="str">
        <x:v>https://www.worldanvil.com/w/inner-sea-region-bobzap66/a/nilak-person</x:v>
      </x:c>
      <x:c r="F82" s="17" t="str">
        <x:v>Tiger Lords / western marches</x:v>
      </x:c>
      <x:c r="G82" s="19" t="str">
        <x:v>Tiger Lord survivor and ally</x:v>
      </x:c>
      <x:c r="H82" s="19" t="str">
        <x:v>Paizo / campaign</x:v>
      </x:c>
      <x:c r="I82" s="19" t="str">
        <x:v>World Anvil NPC article</x:v>
      </x:c>
      <x:c r="J82" s="19" t="str">
        <x:v>Last known alive.</x:v>
      </x:c>
      <x:c r="K82" s="38" t="n">
        <x:v>45936.666666666664</x:v>
      </x:c>
      <x:c r="L82" s="38" t="n">
        <x:f>IF(OR(D82&lt;&gt;"Yes",K82=""),"",K82+365)</x:f>
        <x:v>46301.666666666664</x:v>
      </x:c>
      <x:c r="M82" s="17" t="str">
        <x:f>IF(D82&lt;&gt;"Yes","N/A",IF(K82="","Date missing",IF(TODAY()&gt;=L82,"Review due",IF(TODAY()+90&gt;=L82,"Review soon","Current"))))</x:f>
        <x:v>Review soon</x:v>
      </x:c>
      <x:c r="N82" s="17" t="str">
        <x:v>No</x:v>
      </x:c>
      <x:c r="O82" s="19" t="str"/>
    </x:row>
    <x:row r="83">
      <x:c r="A83" s="17" t="str">
        <x:v>Nok-Nok</x:v>
      </x:c>
      <x:c r="B83" s="17" t="str">
        <x:v>Dead</x:v>
      </x:c>
      <x:c r="C83" s="17" t="str">
        <x:v>Yes</x:v>
      </x:c>
      <x:c r="D83" s="17" t="str">
        <x:v>Yes</x:v>
      </x:c>
      <x:c r="E83" s="18" t="str">
        <x:v>https://www.worldanvil.com/w/inner-sea-region-bobzap66/a/nok-nok-person</x:v>
      </x:c>
      <x:c r="F83" s="17" t="str">
        <x:v>Greengripe</x:v>
      </x:c>
      <x:c r="G83" s="19" t="str">
        <x:v>Former governor; Hero of the Mite Warrens</x:v>
      </x:c>
      <x:c r="H83" s="19" t="str">
        <x:v>Paizo / campaign-expanded</x:v>
      </x:c>
      <x:c r="I83" s="19" t="str">
        <x:v>Nok-Nok Article; Greengripe Article; Free University Article</x:v>
      </x:c>
      <x:c r="J83" s="19" t="str">
        <x:v>Killed in action east of Fort Drelev while covering his soldiers' escape.</x:v>
      </x:c>
      <x:c r="K83" s="38" t="n">
        <x:v>46267.666666666664</x:v>
      </x:c>
      <x:c r="L83" s="38" t="n">
        <x:f>IF(OR(D83&lt;&gt;"Yes",K83=""),"",K83+365)</x:f>
        <x:v>46632.666666666664</x:v>
      </x:c>
      <x:c r="M83" s="17" t="str">
        <x:f>IF(D83&lt;&gt;"Yes","N/A",IF(K83="","Date missing",IF(TODAY()&gt;=L83,"Review due",IF(TODAY()+90&gt;=L83,"Review soon","Current"))))</x:f>
        <x:v>Current</x:v>
      </x:c>
      <x:c r="N83" s="17" t="str">
        <x:v>No</x:v>
      </x:c>
      <x:c r="O83" s="19" t="str"/>
    </x:row>
    <x:row r="84">
      <x:c r="A84" s="17" t="str">
        <x:v>Octavia</x:v>
      </x:c>
      <x:c r="B84" s="17" t="str">
        <x:v>Alive</x:v>
      </x:c>
      <x:c r="C84" s="17" t="str">
        <x:v>No</x:v>
      </x:c>
      <x:c r="D84" s="17" t="str">
        <x:v>Yes</x:v>
      </x:c>
      <x:c r="E84" s="18" t="str">
        <x:v>https://www.worldanvil.com/w/inner-sea-region-bobzap66/a/octavia-person</x:v>
      </x:c>
      <x:c r="F84" s="17" t="str">
        <x:v>Republic</x:v>
      </x:c>
      <x:c r="G84" s="19" t="str">
        <x:v>Wizard and companion</x:v>
      </x:c>
      <x:c r="H84" s="19" t="str">
        <x:v>Paizo / campaign</x:v>
      </x:c>
      <x:c r="I84" s="19" t="str">
        <x:v>World Anvil NPC article</x:v>
      </x:c>
      <x:c r="J84" s="19" t="str">
        <x:v>Last known alive.</x:v>
      </x:c>
      <x:c r="K84" s="38" t="n">
        <x:v>45919.666666666664</x:v>
      </x:c>
      <x:c r="L84" s="38" t="n">
        <x:f>IF(OR(D84&lt;&gt;"Yes",K84=""),"",K84+365)</x:f>
        <x:v>46284.666666666664</x:v>
      </x:c>
      <x:c r="M84" s="17" t="str">
        <x:f>IF(D84&lt;&gt;"Yes","N/A",IF(K84="","Date missing",IF(TODAY()&gt;=L84,"Review due",IF(TODAY()+90&gt;=L84,"Review soon","Current"))))</x:f>
        <x:v>Review soon</x:v>
      </x:c>
      <x:c r="N84" s="17" t="str">
        <x:v>No</x:v>
      </x:c>
      <x:c r="O84" s="19" t="str"/>
    </x:row>
    <x:row r="85">
      <x:c r="A85" s="17" t="str">
        <x:v>Old Mother Thruppa</x:v>
      </x:c>
      <x:c r="B85" s="17" t="str">
        <x:v>Alive</x:v>
      </x:c>
      <x:c r="C85" s="17" t="str">
        <x:v>No</x:v>
      </x:c>
      <x:c r="D85" s="17" t="str">
        <x:v>No</x:v>
      </x:c>
      <x:c r="E85" s="18" t="str"/>
      <x:c r="F85" s="17" t="str">
        <x:v>Sootscale Valley</x:v>
      </x:c>
      <x:c r="G85" s="19" t="str">
        <x:v>Elder and keeper of community memory</x:v>
      </x:c>
      <x:c r="H85" s="19" t="str">
        <x:v>Locally developed</x:v>
      </x:c>
      <x:c r="I85" s="19" t="str">
        <x:v>Velka's Riverside Shrine Article</x:v>
      </x:c>
      <x:c r="J85" s="19" t="str"/>
      <x:c r="K85" s="38"/>
      <x:c r="L85" s="38" t="str">
        <x:f>IF(OR(D85&lt;&gt;"Yes",K85=""),"",K85+365)</x:f>
      </x:c>
      <x:c r="M85" s="17" t="str">
        <x:f>IF(D85&lt;&gt;"Yes","N/A",IF(K85="","Date missing",IF(TODAY()&gt;=L85,"Review due",IF(TODAY()+90&gt;=L85,"Review soon","Current"))))</x:f>
        <x:v>N/A</x:v>
      </x:c>
      <x:c r="N85" s="17" t="str">
        <x:v>No</x:v>
      </x:c>
      <x:c r="O85" s="19" t="str"/>
    </x:row>
    <x:row r="86">
      <x:c r="A86" s="17" t="str">
        <x:v>Oleg Leveton</x:v>
      </x:c>
      <x:c r="B86" s="17" t="str">
        <x:v>Alive</x:v>
      </x:c>
      <x:c r="C86" s="17" t="str">
        <x:v>No</x:v>
      </x:c>
      <x:c r="D86" s="17" t="str">
        <x:v>Yes</x:v>
      </x:c>
      <x:c r="E86" s="18" t="str">
        <x:v>https://www.worldanvil.com/w/inner-sea-region-bobzap66/a/oleg-leveton-person</x:v>
      </x:c>
      <x:c r="F86" s="17" t="str">
        <x:v>Olegton</x:v>
      </x:c>
      <x:c r="G86" s="19" t="str">
        <x:v>Founder, merchant, and civic figure</x:v>
      </x:c>
      <x:c r="H86" s="19" t="str">
        <x:v>Paizo / campaign</x:v>
      </x:c>
      <x:c r="I86" s="19" t="str">
        <x:v>World Anvil NPC article; Levet's Mill Article</x:v>
      </x:c>
      <x:c r="J86" s="19" t="str">
        <x:v>Last known alive.</x:v>
      </x:c>
      <x:c r="K86" s="38" t="n">
        <x:v>46241.666666666664</x:v>
      </x:c>
      <x:c r="L86" s="38" t="n">
        <x:f>IF(OR(D86&lt;&gt;"Yes",K86=""),"",K86+365)</x:f>
        <x:v>46606.666666666664</x:v>
      </x:c>
      <x:c r="M86" s="17" t="str">
        <x:f>IF(D86&lt;&gt;"Yes","N/A",IF(K86="","Date missing",IF(TODAY()&gt;=L86,"Review due",IF(TODAY()+90&gt;=L86,"Review soon","Current"))))</x:f>
        <x:v>Current</x:v>
      </x:c>
      <x:c r="N86" s="17" t="str">
        <x:v>No</x:v>
      </x:c>
      <x:c r="O86" s="19" t="str"/>
    </x:row>
    <x:row r="87">
      <x:c r="A87" s="17" t="str">
        <x:v>Orrik Fume-Eater</x:v>
      </x:c>
      <x:c r="B87" s="17" t="str">
        <x:v>Alive</x:v>
      </x:c>
      <x:c r="C87" s="17" t="str">
        <x:v>No</x:v>
      </x:c>
      <x:c r="D87" s="17" t="str">
        <x:v>No</x:v>
      </x:c>
      <x:c r="E87" s="18" t="str"/>
      <x:c r="F87" s="17" t="str">
        <x:v>Greengripe</x:v>
      </x:c>
      <x:c r="G87" s="19" t="str">
        <x:v>Keeper of Vents, Fizzlesticks &amp; Co.</x:v>
      </x:c>
      <x:c r="H87" s="19" t="str">
        <x:v>Locally created</x:v>
      </x:c>
      <x:c r="I87" s="19" t="str">
        <x:v>Fizzlesticks &amp; Co. Article</x:v>
      </x:c>
      <x:c r="J87" s="19" t="str"/>
      <x:c r="K87" s="38"/>
      <x:c r="L87" s="38" t="str">
        <x:f>IF(OR(D87&lt;&gt;"Yes",K87=""),"",K87+365)</x:f>
      </x:c>
      <x:c r="M87" s="17" t="str">
        <x:f>IF(D87&lt;&gt;"Yes","N/A",IF(K87="","Date missing",IF(TODAY()&gt;=L87,"Review due",IF(TODAY()+90&gt;=L87,"Review soon","Current"))))</x:f>
        <x:v>N/A</x:v>
      </x:c>
      <x:c r="N87" s="17" t="str">
        <x:v>No</x:v>
      </x:c>
      <x:c r="O87" s="19" t="str"/>
    </x:row>
    <x:row r="88">
      <x:c r="A88" s="17" t="str">
        <x:v>Pavetta Stroon-Drelev</x:v>
      </x:c>
      <x:c r="B88" s="17" t="str">
        <x:v>Alive</x:v>
      </x:c>
      <x:c r="C88" s="17" t="str">
        <x:v>No</x:v>
      </x:c>
      <x:c r="D88" s="17" t="str">
        <x:v>Yes</x:v>
      </x:c>
      <x:c r="E88" s="18" t="str">
        <x:v>https://www.worldanvil.com/w/inner-sea-region-bobzap66/a/pavetta-stroon-drelev-person</x:v>
      </x:c>
      <x:c r="F88" s="17" t="str">
        <x:v>Exiled from Fort Drelev</x:v>
      </x:c>
      <x:c r="G88" s="19" t="str">
        <x:v>Former baroness</x:v>
      </x:c>
      <x:c r="H88" s="19" t="str">
        <x:v>Paizo / campaign</x:v>
      </x:c>
      <x:c r="I88" s="19" t="str">
        <x:v>Session 43 Summary; World Anvil NPC article</x:v>
      </x:c>
      <x:c r="J88" s="19" t="str">
        <x:v>Driven from the country after Hannis Drelev's fall.</x:v>
      </x:c>
      <x:c r="K88" s="38" t="n">
        <x:v>46006.708333333336</x:v>
      </x:c>
      <x:c r="L88" s="38" t="n">
        <x:f>IF(OR(D88&lt;&gt;"Yes",K88=""),"",K88+365)</x:f>
        <x:v>46371.708333333336</x:v>
      </x:c>
      <x:c r="M88" s="17" t="str">
        <x:f>IF(D88&lt;&gt;"Yes","N/A",IF(K88="","Date missing",IF(TODAY()&gt;=L88,"Review due",IF(TODAY()+90&gt;=L88,"Review soon","Current"))))</x:f>
        <x:v>Current</x:v>
      </x:c>
      <x:c r="N88" s="17" t="str">
        <x:v>No</x:v>
      </x:c>
      <x:c r="O88" s="19" t="str"/>
    </x:row>
    <x:row r="89">
      <x:c r="A89" s="17" t="str">
        <x:v>Perren Bale</x:v>
      </x:c>
      <x:c r="B89" s="17" t="str">
        <x:v>Alive</x:v>
      </x:c>
      <x:c r="C89" s="17" t="str">
        <x:v>No</x:v>
      </x:c>
      <x:c r="D89" s="17" t="str">
        <x:v>No</x:v>
      </x:c>
      <x:c r="E89" s="18" t="str"/>
      <x:c r="F89" s="17" t="str">
        <x:v>Fort Serenko</x:v>
      </x:c>
      <x:c r="G89" s="19" t="str">
        <x:v>Yardwright, Fort Serenko Lumberworks</x:v>
      </x:c>
      <x:c r="H89" s="19" t="str">
        <x:v>Locally created</x:v>
      </x:c>
      <x:c r="I89" s="19" t="str">
        <x:v>Fort Serenko Lumberworks Article</x:v>
      </x:c>
      <x:c r="J89" s="19" t="str"/>
      <x:c r="K89" s="38"/>
      <x:c r="L89" s="38" t="str">
        <x:f>IF(OR(D89&lt;&gt;"Yes",K89=""),"",K89+365)</x:f>
      </x:c>
      <x:c r="M89" s="17" t="str">
        <x:f>IF(D89&lt;&gt;"Yes","N/A",IF(K89="","Date missing",IF(TODAY()&gt;=L89,"Review due",IF(TODAY()+90&gt;=L89,"Review soon","Current"))))</x:f>
        <x:v>N/A</x:v>
      </x:c>
      <x:c r="N89" s="17" t="str">
        <x:v>No</x:v>
      </x:c>
      <x:c r="O89" s="19" t="str"/>
    </x:row>
    <x:row r="90">
      <x:c r="A90" s="17" t="str">
        <x:v>Prazil</x:v>
      </x:c>
      <x:c r="B90" s="17" t="str">
        <x:v>Alive</x:v>
      </x:c>
      <x:c r="C90" s="17" t="str">
        <x:v>No</x:v>
      </x:c>
      <x:c r="D90" s="17" t="str">
        <x:v>Yes</x:v>
      </x:c>
      <x:c r="E90" s="18" t="str">
        <x:v>https://www.worldanvil.com/w/inner-sea-region-bobzap66/a/prazil-person</x:v>
      </x:c>
      <x:c r="F90" s="17" t="str">
        <x:v>Sootscale Valley / Republic</x:v>
      </x:c>
      <x:c r="G90" s="19" t="str">
        <x:v>Kobold warrior; Kereek's companion</x:v>
      </x:c>
      <x:c r="H90" s="19" t="str">
        <x:v>Paizo / campaign</x:v>
      </x:c>
      <x:c r="I90" s="19" t="str">
        <x:v>Sessions 18–19 Summaries; World Anvil NPC article</x:v>
      </x:c>
      <x:c r="J90" s="19" t="str">
        <x:v>Last known alive.</x:v>
      </x:c>
      <x:c r="K90" s="38" t="n">
        <x:v>45919.666666666664</x:v>
      </x:c>
      <x:c r="L90" s="38" t="n">
        <x:f>IF(OR(D90&lt;&gt;"Yes",K90=""),"",K90+365)</x:f>
        <x:v>46284.666666666664</x:v>
      </x:c>
      <x:c r="M90" s="17" t="str">
        <x:f>IF(D90&lt;&gt;"Yes","N/A",IF(K90="","Date missing",IF(TODAY()&gt;=L90,"Review due",IF(TODAY()+90&gt;=L90,"Review soon","Current"))))</x:f>
        <x:v>Review soon</x:v>
      </x:c>
      <x:c r="N90" s="17" t="str">
        <x:v>No</x:v>
      </x:c>
      <x:c r="O90" s="19" t="str"/>
    </x:row>
    <x:row r="91">
      <x:c r="A91" s="17" t="str">
        <x:v>Quintessa Maray</x:v>
      </x:c>
      <x:c r="B91" s="17" t="str">
        <x:v>Alive</x:v>
      </x:c>
      <x:c r="C91" s="17" t="str">
        <x:v>No</x:v>
      </x:c>
      <x:c r="D91" s="17" t="str">
        <x:v>Yes</x:v>
      </x:c>
      <x:c r="E91" s="18" t="str">
        <x:v>https://www.worldanvil.com/w/inner-sea-region-bobzap66/a/quintessa-maray-person</x:v>
      </x:c>
      <x:c r="F91" s="17" t="str">
        <x:v>Fled Fort Drelev</x:v>
      </x:c>
      <x:c r="G91" s="19" t="str">
        <x:v>Former courtier and Hannis Drelev's mistress</x:v>
      </x:c>
      <x:c r="H91" s="19" t="str">
        <x:v>Paizo / campaign</x:v>
      </x:c>
      <x:c r="I91" s="19" t="str">
        <x:v>Session 43 Summary; World Anvil NPC article</x:v>
      </x:c>
      <x:c r="J91" s="19" t="str">
        <x:v>Escaped by teleportation; current location unknown.</x:v>
      </x:c>
      <x:c r="K91" s="38" t="n">
        <x:v>45981.708333333336</x:v>
      </x:c>
      <x:c r="L91" s="38" t="n">
        <x:f>IF(OR(D91&lt;&gt;"Yes",K91=""),"",K91+365)</x:f>
        <x:v>46346.708333333336</x:v>
      </x:c>
      <x:c r="M91" s="17" t="str">
        <x:f>IF(D91&lt;&gt;"Yes","N/A",IF(K91="","Date missing",IF(TODAY()&gt;=L91,"Review due",IF(TODAY()+90&gt;=L91,"Review soon","Current"))))</x:f>
        <x:v>Review soon</x:v>
      </x:c>
      <x:c r="N91" s="17" t="str">
        <x:v>No</x:v>
      </x:c>
      <x:c r="O91" s="19" t="str"/>
    </x:row>
    <x:row r="92">
      <x:c r="A92" s="17" t="str">
        <x:v>Regongar</x:v>
      </x:c>
      <x:c r="B92" s="17" t="str">
        <x:v>Alive</x:v>
      </x:c>
      <x:c r="C92" s="17" t="str">
        <x:v>No</x:v>
      </x:c>
      <x:c r="D92" s="17" t="str">
        <x:v>Yes</x:v>
      </x:c>
      <x:c r="E92" s="18" t="str">
        <x:v>https://www.worldanvil.com/w/inner-sea-region-bobzap66/a/regongar-person</x:v>
      </x:c>
      <x:c r="F92" s="17" t="str">
        <x:v>Republic</x:v>
      </x:c>
      <x:c r="G92" s="19" t="str">
        <x:v>Magus and companion</x:v>
      </x:c>
      <x:c r="H92" s="19" t="str">
        <x:v>Paizo / campaign</x:v>
      </x:c>
      <x:c r="I92" s="19" t="str">
        <x:v>World Anvil NPC article</x:v>
      </x:c>
      <x:c r="J92" s="19" t="str">
        <x:v>Last known alive.</x:v>
      </x:c>
      <x:c r="K92" s="38" t="n">
        <x:v>45919.666666666664</x:v>
      </x:c>
      <x:c r="L92" s="38" t="n">
        <x:f>IF(OR(D92&lt;&gt;"Yes",K92=""),"",K92+365)</x:f>
        <x:v>46284.666666666664</x:v>
      </x:c>
      <x:c r="M92" s="17" t="str">
        <x:f>IF(D92&lt;&gt;"Yes","N/A",IF(K92="","Date missing",IF(TODAY()&gt;=L92,"Review due",IF(TODAY()+90&gt;=L92,"Review soon","Current"))))</x:f>
        <x:v>Review soon</x:v>
      </x:c>
      <x:c r="N92" s="17" t="str">
        <x:v>No</x:v>
      </x:c>
      <x:c r="O92" s="19" t="str"/>
    </x:row>
    <x:row r="93">
      <x:c r="A93" s="17" t="str">
        <x:v>Rikka Tallowglass</x:v>
      </x:c>
      <x:c r="B93" s="17" t="str">
        <x:v>Alive</x:v>
      </x:c>
      <x:c r="C93" s="17" t="str">
        <x:v>No</x:v>
      </x:c>
      <x:c r="D93" s="17" t="str">
        <x:v>No</x:v>
      </x:c>
      <x:c r="E93" s="18" t="str"/>
      <x:c r="F93" s="17" t="str">
        <x:v>Thumpington</x:v>
      </x:c>
      <x:c r="G93" s="19" t="str">
        <x:v>Lecturer in Civic Alchemy, Free University</x:v>
      </x:c>
      <x:c r="H93" s="19" t="str">
        <x:v>Locally created</x:v>
      </x:c>
      <x:c r="I93" s="19" t="str">
        <x:v>Free University / Lantern and Ledger articles</x:v>
      </x:c>
      <x:c r="J93" s="19" t="str"/>
      <x:c r="K93" s="38"/>
      <x:c r="L93" s="38" t="str">
        <x:f>IF(OR(D93&lt;&gt;"Yes",K93=""),"",K93+365)</x:f>
      </x:c>
      <x:c r="M93" s="17" t="str">
        <x:f>IF(D93&lt;&gt;"Yes","N/A",IF(K93="","Date missing",IF(TODAY()&gt;=L93,"Review due",IF(TODAY()+90&gt;=L93,"Review soon","Current"))))</x:f>
        <x:v>N/A</x:v>
      </x:c>
      <x:c r="N93" s="17" t="str">
        <x:v>No</x:v>
      </x:c>
      <x:c r="O93" s="19" t="str"/>
    </x:row>
    <x:row r="94">
      <x:c r="A94" s="17" t="str">
        <x:v>Roald Celinnas</x:v>
      </x:c>
      <x:c r="B94" s="17" t="str">
        <x:v>Alive</x:v>
      </x:c>
      <x:c r="C94" s="17" t="str">
        <x:v>No</x:v>
      </x:c>
      <x:c r="D94" s="17" t="str">
        <x:v>Yes</x:v>
      </x:c>
      <x:c r="E94" s="18" t="str">
        <x:v>https://www.worldanvil.com/w/inner-sea-region-bobzap66/a/roald-celinnas-person</x:v>
      </x:c>
      <x:c r="F94" s="17" t="str">
        <x:v>Pitax</x:v>
      </x:c>
      <x:c r="G94" s="19" t="str">
        <x:v>Advocate, reformer, and civic leader</x:v>
      </x:c>
      <x:c r="H94" s="19" t="str">
        <x:v>Paizo Companion Guide / campaign-expanded</x:v>
      </x:c>
      <x:c r="I94" s="19" t="str">
        <x:v>Roald Celinnas Article; Pitax Article</x:v>
      </x:c>
      <x:c r="J94" s="19" t="str">
        <x:v>Participant in Pitax's postwar civic life.</x:v>
      </x:c>
      <x:c r="K94" s="38" t="n">
        <x:v>46267.666666666664</x:v>
      </x:c>
      <x:c r="L94" s="38" t="n">
        <x:f>IF(OR(D94&lt;&gt;"Yes",K94=""),"",K94+365)</x:f>
        <x:v>46632.666666666664</x:v>
      </x:c>
      <x:c r="M94" s="17" t="str">
        <x:f>IF(D94&lt;&gt;"Yes","N/A",IF(K94="","Date missing",IF(TODAY()&gt;=L94,"Review due",IF(TODAY()+90&gt;=L94,"Review soon","Current"))))</x:f>
        <x:v>Current</x:v>
      </x:c>
      <x:c r="N94" s="17" t="str">
        <x:v>No</x:v>
      </x:c>
      <x:c r="O94" s="19" t="str"/>
    </x:row>
    <x:row r="95">
      <x:c r="A95" s="17" t="str">
        <x:v>Satinder Morne</x:v>
      </x:c>
      <x:c r="B95" s="17" t="str">
        <x:v>Alive</x:v>
      </x:c>
      <x:c r="C95" s="17" t="str">
        <x:v>No</x:v>
      </x:c>
      <x:c r="D95" s="17" t="str">
        <x:v>Yes</x:v>
      </x:c>
      <x:c r="E95" s="18" t="str">
        <x:v>https://www.worldanvil.com/w/inner-sea-region-bobzap66/a/satinder-morne-person</x:v>
      </x:c>
      <x:c r="F95" s="17" t="str">
        <x:v>Fort Drelev</x:v>
      </x:c>
      <x:c r="G95" s="19" t="str">
        <x:v>Proprietor of the Velvet Corner; resistance contact</x:v>
      </x:c>
      <x:c r="H95" s="19" t="str">
        <x:v>Paizo / campaign</x:v>
      </x:c>
      <x:c r="I95" s="19" t="str">
        <x:v>World Anvil NPC article; campaign notes</x:v>
      </x:c>
      <x:c r="J95" s="19" t="str">
        <x:v>Last known alive.</x:v>
      </x:c>
      <x:c r="K95" s="38" t="n">
        <x:v>45967.708333333336</x:v>
      </x:c>
      <x:c r="L95" s="38" t="n">
        <x:f>IF(OR(D95&lt;&gt;"Yes",K95=""),"",K95+365)</x:f>
        <x:v>46332.708333333336</x:v>
      </x:c>
      <x:c r="M95" s="17" t="str">
        <x:f>IF(D95&lt;&gt;"Yes","N/A",IF(K95="","Date missing",IF(TODAY()&gt;=L95,"Review due",IF(TODAY()+90&gt;=L95,"Review soon","Current"))))</x:f>
        <x:v>Review soon</x:v>
      </x:c>
      <x:c r="N95" s="17" t="str">
        <x:v>No</x:v>
      </x:c>
      <x:c r="O95" s="19" t="str"/>
    </x:row>
    <x:row r="96">
      <x:c r="A96" s="17" t="str">
        <x:v>Saufie Cintost</x:v>
      </x:c>
      <x:c r="B96" s="17" t="str">
        <x:v>Alive</x:v>
      </x:c>
      <x:c r="C96" s="17" t="str">
        <x:v>No</x:v>
      </x:c>
      <x:c r="D96" s="17" t="str">
        <x:v>No</x:v>
      </x:c>
      <x:c r="E96" s="18" t="str"/>
      <x:c r="F96" s="17" t="str">
        <x:v>Pitax</x:v>
      </x:c>
      <x:c r="G96" s="19" t="str">
        <x:v>Master of Beacons</x:v>
      </x:c>
      <x:c r="H96" s="19" t="str">
        <x:v>Paizo Companion Guide / campaign</x:v>
      </x:c>
      <x:c r="I96" s="19" t="str">
        <x:v>Pitax Article</x:v>
      </x:c>
      <x:c r="J96" s="19" t="str"/>
      <x:c r="K96" s="38"/>
      <x:c r="L96" s="38" t="str">
        <x:f>IF(OR(D96&lt;&gt;"Yes",K96=""),"",K96+365)</x:f>
      </x:c>
      <x:c r="M96" s="17" t="str">
        <x:f>IF(D96&lt;&gt;"Yes","N/A",IF(K96="","Date missing",IF(TODAY()&gt;=L96,"Review due",IF(TODAY()+90&gt;=L96,"Review soon","Current"))))</x:f>
        <x:v>N/A</x:v>
      </x:c>
      <x:c r="N96" s="17" t="str">
        <x:v>No</x:v>
      </x:c>
      <x:c r="O96" s="19" t="str"/>
    </x:row>
    <x:row r="97">
      <x:c r="A97" s="17" t="str">
        <x:v>Sella Copperclaw</x:v>
      </x:c>
      <x:c r="B97" s="17" t="str">
        <x:v>Alive</x:v>
      </x:c>
      <x:c r="C97" s="17" t="str">
        <x:v>No</x:v>
      </x:c>
      <x:c r="D97" s="17" t="str">
        <x:v>No</x:v>
      </x:c>
      <x:c r="E97" s="18" t="str"/>
      <x:c r="F97" s="17" t="str">
        <x:v>Thumpington</x:v>
      </x:c>
      <x:c r="G97" s="19" t="str">
        <x:v>Trade and Civic Affairs correspondent</x:v>
      </x:c>
      <x:c r="H97" s="19" t="str">
        <x:v>Locally created</x:v>
      </x:c>
      <x:c r="I97" s="19" t="str">
        <x:v>Lantern and Ledger Article</x:v>
      </x:c>
      <x:c r="J97" s="19" t="str"/>
      <x:c r="K97" s="38"/>
      <x:c r="L97" s="38" t="str">
        <x:f>IF(OR(D97&lt;&gt;"Yes",K97=""),"",K97+365)</x:f>
      </x:c>
      <x:c r="M97" s="17" t="str">
        <x:f>IF(D97&lt;&gt;"Yes","N/A",IF(K97="","Date missing",IF(TODAY()&gt;=L97,"Review due",IF(TODAY()+90&gt;=L97,"Review soon","Current"))))</x:f>
        <x:v>N/A</x:v>
      </x:c>
      <x:c r="N97" s="17" t="str">
        <x:v>No</x:v>
      </x:c>
      <x:c r="O97" s="19" t="str"/>
    </x:row>
    <x:row r="98">
      <x:c r="A98" s="17" t="str">
        <x:v>Ses-Tarak</x:v>
      </x:c>
      <x:c r="B98" s="17" t="str">
        <x:v>Alive</x:v>
      </x:c>
      <x:c r="C98" s="17" t="str">
        <x:v>No</x:v>
      </x:c>
      <x:c r="D98" s="17" t="str">
        <x:v>No</x:v>
      </x:c>
      <x:c r="E98" s="18" t="str"/>
      <x:c r="F98" s="17" t="str">
        <x:v>Tok-Nikrat</x:v>
      </x:c>
      <x:c r="G98" s="19" t="str">
        <x:v>Cachewright, House of Measured Paths</x:v>
      </x:c>
      <x:c r="H98" s="19" t="str">
        <x:v>Locally created</x:v>
      </x:c>
      <x:c r="I98" s="19" t="str">
        <x:v>House of Measured Paths Article</x:v>
      </x:c>
      <x:c r="J98" s="19" t="str"/>
      <x:c r="K98" s="38"/>
      <x:c r="L98" s="38" t="str">
        <x:f>IF(OR(D98&lt;&gt;"Yes",K98=""),"",K98+365)</x:f>
      </x:c>
      <x:c r="M98" s="17" t="str">
        <x:f>IF(D98&lt;&gt;"Yes","N/A",IF(K98="","Date missing",IF(TODAY()&gt;=L98,"Review due",IF(TODAY()+90&gt;=L98,"Review soon","Current"))))</x:f>
        <x:v>N/A</x:v>
      </x:c>
      <x:c r="N98" s="17" t="str">
        <x:v>No</x:v>
      </x:c>
      <x:c r="O98" s="19" t="str"/>
    </x:row>
    <x:row r="99">
      <x:c r="A99" s="17" t="str">
        <x:v>Sister Branna Freecup</x:v>
      </x:c>
      <x:c r="B99" s="17" t="str">
        <x:v>Alive</x:v>
      </x:c>
      <x:c r="C99" s="17" t="str">
        <x:v>No</x:v>
      </x:c>
      <x:c r="D99" s="17" t="str">
        <x:v>No</x:v>
      </x:c>
      <x:c r="E99" s="18" t="str"/>
      <x:c r="F99" s="17" t="str">
        <x:v>Thumpington</x:v>
      </x:c>
      <x:c r="G99" s="19" t="str">
        <x:v>Caydenite advocate, Tristian's Dawn</x:v>
      </x:c>
      <x:c r="H99" s="19" t="str">
        <x:v>Locally created</x:v>
      </x:c>
      <x:c r="I99" s="19" t="str">
        <x:v>Tristian's Dawn Article</x:v>
      </x:c>
      <x:c r="J99" s="19" t="str">
        <x:v>Connects the orphanage with Cayden Cailean's concern for orphans.</x:v>
      </x:c>
      <x:c r="K99" s="38"/>
      <x:c r="L99" s="38" t="str">
        <x:f>IF(OR(D99&lt;&gt;"Yes",K99=""),"",K99+365)</x:f>
      </x:c>
      <x:c r="M99" s="17" t="str">
        <x:f>IF(D99&lt;&gt;"Yes","N/A",IF(K99="","Date missing",IF(TODAY()&gt;=L99,"Review due",IF(TODAY()+90&gt;=L99,"Review soon","Current"))))</x:f>
        <x:v>N/A</x:v>
      </x:c>
      <x:c r="N99" s="17" t="str">
        <x:v>No</x:v>
      </x:c>
      <x:c r="O99" s="19" t="str"/>
    </x:row>
    <x:row r="100">
      <x:c r="A100" s="17" t="str">
        <x:v>Sorn Delvik</x:v>
      </x:c>
      <x:c r="B100" s="17" t="str">
        <x:v>Alive</x:v>
      </x:c>
      <x:c r="C100" s="17" t="str">
        <x:v>No</x:v>
      </x:c>
      <x:c r="D100" s="17" t="str">
        <x:v>No</x:v>
      </x:c>
      <x:c r="E100" s="18" t="str"/>
      <x:c r="F100" s="17" t="str">
        <x:v>Willowfen</x:v>
      </x:c>
      <x:c r="G100" s="19" t="str">
        <x:v>Owner and innkeeper, the Silver Reed</x:v>
      </x:c>
      <x:c r="H100" s="19" t="str">
        <x:v>Player-source idea / locally expanded</x:v>
      </x:c>
      <x:c r="I100" s="19" t="str">
        <x:v>The Silver Reed Article</x:v>
      </x:c>
      <x:c r="J100" s="19" t="str"/>
      <x:c r="K100" s="38"/>
      <x:c r="L100" s="38" t="str">
        <x:f>IF(OR(D100&lt;&gt;"Yes",K100=""),"",K100+365)</x:f>
      </x:c>
      <x:c r="M100" s="17" t="str">
        <x:f>IF(D100&lt;&gt;"Yes","N/A",IF(K100="","Date missing",IF(TODAY()&gt;=L100,"Review due",IF(TODAY()+90&gt;=L100,"Review soon","Current"))))</x:f>
        <x:v>N/A</x:v>
      </x:c>
      <x:c r="N100" s="17" t="str">
        <x:v>No</x:v>
      </x:c>
      <x:c r="O100" s="19" t="str"/>
    </x:row>
    <x:row r="101">
      <x:c r="A101" s="17" t="str">
        <x:v>Ssekesh</x:v>
      </x:c>
      <x:c r="B101" s="17" t="str">
        <x:v>Alive</x:v>
      </x:c>
      <x:c r="C101" s="17" t="str">
        <x:v>No</x:v>
      </x:c>
      <x:c r="D101" s="17" t="str">
        <x:v>No</x:v>
      </x:c>
      <x:c r="E101" s="18" t="str"/>
      <x:c r="F101" s="17" t="str">
        <x:v>Longtail Island</x:v>
      </x:c>
      <x:c r="G101" s="19" t="str">
        <x:v>Master smith, Tailforge Atelier</x:v>
      </x:c>
      <x:c r="H101" s="19" t="str">
        <x:v>Player-source idea / locally expanded</x:v>
      </x:c>
      <x:c r="I101" s="19" t="str">
        <x:v>Tailforge Atelier Article</x:v>
      </x:c>
      <x:c r="J101" s="19" t="str">
        <x:v>Iruxi.</x:v>
      </x:c>
      <x:c r="K101" s="38"/>
      <x:c r="L101" s="38" t="str">
        <x:f>IF(OR(D101&lt;&gt;"Yes",K101=""),"",K101+365)</x:f>
      </x:c>
      <x:c r="M101" s="17" t="str">
        <x:f>IF(D101&lt;&gt;"Yes","N/A",IF(K101="","Date missing",IF(TODAY()&gt;=L101,"Review due",IF(TODAY()+90&gt;=L101,"Review soon","Current"))))</x:f>
        <x:v>N/A</x:v>
      </x:c>
      <x:c r="N101" s="17" t="str">
        <x:v>No</x:v>
      </x:c>
      <x:c r="O101" s="19" t="str"/>
    </x:row>
    <x:row r="102">
      <x:c r="A102" s="17" t="str">
        <x:v>Stag Lord</x:v>
      </x:c>
      <x:c r="B102" s="17" t="str">
        <x:v>Dead</x:v>
      </x:c>
      <x:c r="C102" s="17" t="str">
        <x:v>Yes</x:v>
      </x:c>
      <x:c r="D102" s="17" t="str">
        <x:v>Yes</x:v>
      </x:c>
      <x:c r="E102" s="18" t="str">
        <x:v>https://www.worldanvil.com/w/inner-sea-region-bobzap66/a/stag-lord-person</x:v>
      </x:c>
      <x:c r="F102" s="17" t="str">
        <x:v>Fort Tuskwater</x:v>
      </x:c>
      <x:c r="G102" s="19" t="str">
        <x:v>Bandit lord</x:v>
      </x:c>
      <x:c r="H102" s="19" t="str">
        <x:v>Paizo / campaign</x:v>
      </x:c>
      <x:c r="I102" s="19" t="str">
        <x:v>Thumping Waters Article; Briny Wake Article</x:v>
      </x:c>
      <x:c r="J102" s="19" t="str">
        <x:v>Killed before the Republic's founding.</x:v>
      </x:c>
      <x:c r="K102" s="38" t="n">
        <x:v>45919.666666666664</x:v>
      </x:c>
      <x:c r="L102" s="38" t="n">
        <x:f>IF(OR(D102&lt;&gt;"Yes",K102=""),"",K102+365)</x:f>
        <x:v>46284.666666666664</x:v>
      </x:c>
      <x:c r="M102" s="17" t="str">
        <x:f>IF(D102&lt;&gt;"Yes","N/A",IF(K102="","Date missing",IF(TODAY()&gt;=L102,"Review due",IF(TODAY()+90&gt;=L102,"Review soon","Current"))))</x:f>
        <x:v>Review soon</x:v>
      </x:c>
      <x:c r="N102" s="17" t="str">
        <x:v>No</x:v>
      </x:c>
      <x:c r="O102" s="19" t="str"/>
    </x:row>
    <x:row r="103">
      <x:c r="A103" s="17" t="str">
        <x:v>Stas</x:v>
      </x:c>
      <x:c r="B103" s="17" t="str">
        <x:v>Unknown</x:v>
      </x:c>
      <x:c r="C103" s="17" t="str">
        <x:v>Unknown</x:v>
      </x:c>
      <x:c r="D103" s="17" t="str">
        <x:v>Yes</x:v>
      </x:c>
      <x:c r="E103" s="18" t="str">
        <x:v>https://www.worldanvil.com/w/inner-sea-region-bobzap66/a/stas-person</x:v>
      </x:c>
      <x:c r="F103" s="17" t="str">
        <x:v>Unknown</x:v>
      </x:c>
      <x:c r="G103" s="19" t="str">
        <x:v>Campaign NPC</x:v>
      </x:c>
      <x:c r="H103" s="19" t="str">
        <x:v>Paizo / campaign</x:v>
      </x:c>
      <x:c r="I103" s="19" t="str">
        <x:v>World Anvil NPC article</x:v>
      </x:c>
      <x:c r="J103" s="19" t="str">
        <x:v>Status and primary location require article review.</x:v>
      </x:c>
      <x:c r="K103" s="38" t="n">
        <x:v>45919.666666666664</x:v>
      </x:c>
      <x:c r="L103" s="38" t="n">
        <x:f>IF(OR(D103&lt;&gt;"Yes",K103=""),"",K103+365)</x:f>
        <x:v>46284.666666666664</x:v>
      </x:c>
      <x:c r="M103" s="17" t="str">
        <x:f>IF(D103&lt;&gt;"Yes","N/A",IF(K103="","Date missing",IF(TODAY()&gt;=L103,"Review due",IF(TODAY()+90&gt;=L103,"Review soon","Current"))))</x:f>
        <x:v>Review soon</x:v>
      </x:c>
      <x:c r="N103" s="17" t="str">
        <x:v>No</x:v>
      </x:c>
      <x:c r="O103" s="19" t="str"/>
    </x:row>
    <x:row r="104">
      <x:c r="A104" s="17" t="str">
        <x:v>Svetlana Leveton</x:v>
      </x:c>
      <x:c r="B104" s="17" t="str">
        <x:v>Alive</x:v>
      </x:c>
      <x:c r="C104" s="17" t="str">
        <x:v>No</x:v>
      </x:c>
      <x:c r="D104" s="17" t="str">
        <x:v>Yes</x:v>
      </x:c>
      <x:c r="E104" s="18" t="str">
        <x:v>https://www.worldanvil.com/w/inner-sea-region-bobzap66/a/svetlana-leveton-person</x:v>
      </x:c>
      <x:c r="F104" s="17" t="str">
        <x:v>Olegton</x:v>
      </x:c>
      <x:c r="G104" s="19" t="str">
        <x:v>Founder, merchant, and civic figure</x:v>
      </x:c>
      <x:c r="H104" s="19" t="str">
        <x:v>Paizo / campaign</x:v>
      </x:c>
      <x:c r="I104" s="19" t="str">
        <x:v>World Anvil NPC article</x:v>
      </x:c>
      <x:c r="J104" s="19" t="str">
        <x:v>Last known alive.</x:v>
      </x:c>
      <x:c r="K104" s="38" t="n">
        <x:v>46241.666666666664</x:v>
      </x:c>
      <x:c r="L104" s="38" t="n">
        <x:f>IF(OR(D104&lt;&gt;"Yes",K104=""),"",K104+365)</x:f>
        <x:v>46606.666666666664</x:v>
      </x:c>
      <x:c r="M104" s="17" t="str">
        <x:f>IF(D104&lt;&gt;"Yes","N/A",IF(K104="","Date missing",IF(TODAY()&gt;=L104,"Review due",IF(TODAY()+90&gt;=L104,"Review soon","Current"))))</x:f>
        <x:v>Current</x:v>
      </x:c>
      <x:c r="N104" s="17" t="str">
        <x:v>No</x:v>
      </x:c>
      <x:c r="O104" s="19" t="str"/>
    </x:row>
    <x:row r="105">
      <x:c r="A105" s="17" t="str">
        <x:v>Tak-Sel</x:v>
      </x:c>
      <x:c r="B105" s="17" t="str">
        <x:v>Alive</x:v>
      </x:c>
      <x:c r="C105" s="17" t="str">
        <x:v>No</x:v>
      </x:c>
      <x:c r="D105" s="17" t="str">
        <x:v>No</x:v>
      </x:c>
      <x:c r="E105" s="18" t="str"/>
      <x:c r="F105" s="17" t="str">
        <x:v>Tok-Nikrat</x:v>
      </x:c>
      <x:c r="G105" s="19" t="str">
        <x:v>Proprietor, the Whispering Step</x:v>
      </x:c>
      <x:c r="H105" s="19" t="str">
        <x:v>Locally created</x:v>
      </x:c>
      <x:c r="I105" s="19" t="str">
        <x:v>The Whispering Step Article</x:v>
      </x:c>
      <x:c r="J105" s="19" t="str"/>
      <x:c r="K105" s="38"/>
      <x:c r="L105" s="38" t="str">
        <x:f>IF(OR(D105&lt;&gt;"Yes",K105=""),"",K105+365)</x:f>
      </x:c>
      <x:c r="M105" s="17" t="str">
        <x:f>IF(D105&lt;&gt;"Yes","N/A",IF(K105="","Date missing",IF(TODAY()&gt;=L105,"Review due",IF(TODAY()+90&gt;=L105,"Review soon","Current"))))</x:f>
        <x:v>N/A</x:v>
      </x:c>
      <x:c r="N105" s="17" t="str">
        <x:v>No</x:v>
      </x:c>
      <x:c r="O105" s="19" t="str"/>
    </x:row>
    <x:row r="106">
      <x:c r="A106" s="17" t="str">
        <x:v>Tamary Numesti</x:v>
      </x:c>
      <x:c r="B106" s="17" t="str">
        <x:v>Alive</x:v>
      </x:c>
      <x:c r="C106" s="17" t="str">
        <x:v>No</x:v>
      </x:c>
      <x:c r="D106" s="17" t="str">
        <x:v>Yes</x:v>
      </x:c>
      <x:c r="E106" s="18" t="str">
        <x:v>https://www.worldanvil.com/w/inner-sea-region-bobzap66/a/tamary-numesti-person</x:v>
      </x:c>
      <x:c r="F106" s="17" t="str">
        <x:v>Fort Drelev / Tiger Lord lands</x:v>
      </x:c>
      <x:c r="G106" s="19" t="str">
        <x:v>Numesti family member</x:v>
      </x:c>
      <x:c r="H106" s="19" t="str">
        <x:v>Paizo / campaign</x:v>
      </x:c>
      <x:c r="I106" s="19" t="str">
        <x:v>World Anvil NPC article</x:v>
      </x:c>
      <x:c r="J106" s="19" t="str">
        <x:v>Last known alive.</x:v>
      </x:c>
      <x:c r="K106" s="38" t="n">
        <x:v>45961.666666666664</x:v>
      </x:c>
      <x:c r="L106" s="38" t="n">
        <x:f>IF(OR(D106&lt;&gt;"Yes",K106=""),"",K106+365)</x:f>
        <x:v>46326.666666666664</x:v>
      </x:c>
      <x:c r="M106" s="17" t="str">
        <x:f>IF(D106&lt;&gt;"Yes","N/A",IF(K106="","Date missing",IF(TODAY()&gt;=L106,"Review due",IF(TODAY()+90&gt;=L106,"Review soon","Current"))))</x:f>
        <x:v>Review soon</x:v>
      </x:c>
      <x:c r="N106" s="17" t="str">
        <x:v>No</x:v>
      </x:c>
      <x:c r="O106" s="19" t="str"/>
    </x:row>
    <x:row r="107">
      <x:c r="A107" s="17" t="str">
        <x:v>Tartuccio</x:v>
      </x:c>
      <x:c r="B107" s="17" t="str">
        <x:v>Dead</x:v>
      </x:c>
      <x:c r="C107" s="17" t="str">
        <x:v>Yes</x:v>
      </x:c>
      <x:c r="D107" s="17" t="str">
        <x:v>Yes</x:v>
      </x:c>
      <x:c r="E107" s="18" t="str">
        <x:v>https://www.worldanvil.com/w/inner-sea-region-bobzap66/a/tartuccio-person</x:v>
      </x:c>
      <x:c r="F107" s="17" t="str">
        <x:v>Sootscale Caverns</x:v>
      </x:c>
      <x:c r="G107" s="19" t="str">
        <x:v>Gnome sorcerer; false kobold priest Tartuk</x:v>
      </x:c>
      <x:c r="H107" s="19" t="str">
        <x:v>Paizo / campaign</x:v>
      </x:c>
      <x:c r="I107" s="19" t="str">
        <x:v>Session 53 Summary; World Anvil NPC article</x:v>
      </x:c>
      <x:c r="J107" s="19" t="str">
        <x:v>Killed after Chief Sootscale shattered the idol; Tartuk's body reverted to Tartuccio.</x:v>
      </x:c>
      <x:c r="K107" s="38" t="n">
        <x:v>45919.666666666664</x:v>
      </x:c>
      <x:c r="L107" s="38" t="n">
        <x:f>IF(OR(D107&lt;&gt;"Yes",K107=""),"",K107+365)</x:f>
        <x:v>46284.666666666664</x:v>
      </x:c>
      <x:c r="M107" s="17" t="str">
        <x:f>IF(D107&lt;&gt;"Yes","N/A",IF(K107="","Date missing",IF(TODAY()&gt;=L107,"Review due",IF(TODAY()+90&gt;=L107,"Review soon","Current"))))</x:f>
        <x:v>Review soon</x:v>
      </x:c>
      <x:c r="N107" s="17" t="str">
        <x:v>No</x:v>
      </x:c>
      <x:c r="O107" s="19" t="str"/>
    </x:row>
    <x:row r="108">
      <x:c r="A108" s="17" t="str">
        <x:v>Tavena Levet</x:v>
      </x:c>
      <x:c r="B108" s="17" t="str">
        <x:v>Alive</x:v>
      </x:c>
      <x:c r="C108" s="17" t="str">
        <x:v>No</x:v>
      </x:c>
      <x:c r="D108" s="17" t="str">
        <x:v>No</x:v>
      </x:c>
      <x:c r="E108" s="18" t="str"/>
      <x:c r="F108" s="17" t="str">
        <x:v>Olegton</x:v>
      </x:c>
      <x:c r="G108" s="19" t="str">
        <x:v>Master miller, Levet's Mill</x:v>
      </x:c>
      <x:c r="H108" s="19" t="str">
        <x:v>Player-source idea / locally expanded</x:v>
      </x:c>
      <x:c r="I108" s="19" t="str">
        <x:v>Levet's Mill Article</x:v>
      </x:c>
      <x:c r="J108" s="19" t="str"/>
      <x:c r="K108" s="38"/>
      <x:c r="L108" s="38" t="str">
        <x:f>IF(OR(D108&lt;&gt;"Yes",K108=""),"",K108+365)</x:f>
      </x:c>
      <x:c r="M108" s="17" t="str">
        <x:f>IF(D108&lt;&gt;"Yes","N/A",IF(K108="","Date missing",IF(TODAY()&gt;=L108,"Review due",IF(TODAY()+90&gt;=L108,"Review soon","Current"))))</x:f>
        <x:v>N/A</x:v>
      </x:c>
      <x:c r="N108" s="17" t="str">
        <x:v>No</x:v>
      </x:c>
      <x:c r="O108" s="19" t="str"/>
    </x:row>
    <x:row r="109">
      <x:c r="A109" s="17" t="str">
        <x:v>Tella Bramble</x:v>
      </x:c>
      <x:c r="B109" s="17" t="str">
        <x:v>Alive</x:v>
      </x:c>
      <x:c r="C109" s="17" t="str">
        <x:v>No</x:v>
      </x:c>
      <x:c r="D109" s="17" t="str">
        <x:v>No</x:v>
      </x:c>
      <x:c r="E109" s="18" t="str"/>
      <x:c r="F109" s="17" t="str">
        <x:v>Thumpington</x:v>
      </x:c>
      <x:c r="G109" s="19" t="str">
        <x:v>Head teacher, Tristian's Dawn</x:v>
      </x:c>
      <x:c r="H109" s="19" t="str">
        <x:v>Locally created</x:v>
      </x:c>
      <x:c r="I109" s="19" t="str">
        <x:v>Tristian's Dawn Article</x:v>
      </x:c>
      <x:c r="J109" s="19" t="str"/>
      <x:c r="K109" s="38"/>
      <x:c r="L109" s="38" t="str">
        <x:f>IF(OR(D109&lt;&gt;"Yes",K109=""),"",K109+365)</x:f>
      </x:c>
      <x:c r="M109" s="17" t="str">
        <x:f>IF(D109&lt;&gt;"Yes","N/A",IF(K109="","Date missing",IF(TODAY()&gt;=L109,"Review due",IF(TODAY()+90&gt;=L109,"Review soon","Current"))))</x:f>
        <x:v>N/A</x:v>
      </x:c>
      <x:c r="N109" s="17" t="str">
        <x:v>No</x:v>
      </x:c>
      <x:c r="O109" s="19" t="str"/>
    </x:row>
    <x:row r="110">
      <x:c r="A110" s="17" t="str">
        <x:v>Terrion Numesti</x:v>
      </x:c>
      <x:c r="B110" s="17" t="str">
        <x:v>Alive</x:v>
      </x:c>
      <x:c r="C110" s="17" t="str">
        <x:v>No</x:v>
      </x:c>
      <x:c r="D110" s="17" t="str">
        <x:v>Yes</x:v>
      </x:c>
      <x:c r="E110" s="18" t="str">
        <x:v>https://www.worldanvil.com/w/inner-sea-region-bobzap66/a/terrion-numesti-person</x:v>
      </x:c>
      <x:c r="F110" s="17" t="str">
        <x:v>Fort Drelev</x:v>
      </x:c>
      <x:c r="G110" s="19" t="str">
        <x:v>Numesti patriarch and former prisoner</x:v>
      </x:c>
      <x:c r="H110" s="19" t="str">
        <x:v>Paizo / campaign</x:v>
      </x:c>
      <x:c r="I110" s="19" t="str">
        <x:v>Session 43 Summary; World Anvil NPC article</x:v>
      </x:c>
      <x:c r="J110" s="19" t="str">
        <x:v>Freed during the fall of Hannis Drelev.</x:v>
      </x:c>
      <x:c r="K110" s="38" t="n">
        <x:v>45981.708333333336</x:v>
      </x:c>
      <x:c r="L110" s="38" t="n">
        <x:f>IF(OR(D110&lt;&gt;"Yes",K110=""),"",K110+365)</x:f>
        <x:v>46346.708333333336</x:v>
      </x:c>
      <x:c r="M110" s="17" t="str">
        <x:f>IF(D110&lt;&gt;"Yes","N/A",IF(K110="","Date missing",IF(TODAY()&gt;=L110,"Review due",IF(TODAY()+90&gt;=L110,"Review soon","Current"))))</x:f>
        <x:v>Review soon</x:v>
      </x:c>
      <x:c r="N110" s="17" t="str">
        <x:v>No</x:v>
      </x:c>
      <x:c r="O110" s="19" t="str"/>
    </x:row>
    <x:row r="111">
      <x:c r="A111" s="17" t="str">
        <x:v>Tiressia</x:v>
      </x:c>
      <x:c r="B111" s="17" t="str">
        <x:v>Alive</x:v>
      </x:c>
      <x:c r="C111" s="17" t="str">
        <x:v>No</x:v>
      </x:c>
      <x:c r="D111" s="17" t="str">
        <x:v>Yes</x:v>
      </x:c>
      <x:c r="E111" s="18" t="str">
        <x:v>https://www.worldanvil.com/w/inner-sea-region-bobzap66/a/tiressia-person</x:v>
      </x:c>
      <x:c r="F111" s="17" t="str">
        <x:v>Narlmarches</x:v>
      </x:c>
      <x:c r="G111" s="19" t="str">
        <x:v>Dryad</x:v>
      </x:c>
      <x:c r="H111" s="19" t="str">
        <x:v>Paizo / campaign</x:v>
      </x:c>
      <x:c r="I111" s="19" t="str">
        <x:v>World Anvil NPC article</x:v>
      </x:c>
      <x:c r="J111" s="19" t="str">
        <x:v>Last known alive.</x:v>
      </x:c>
      <x:c r="K111" s="38" t="n">
        <x:v>45919.666666666664</x:v>
      </x:c>
      <x:c r="L111" s="38" t="n">
        <x:f>IF(OR(D111&lt;&gt;"Yes",K111=""),"",K111+365)</x:f>
        <x:v>46284.666666666664</x:v>
      </x:c>
      <x:c r="M111" s="17" t="str">
        <x:f>IF(D111&lt;&gt;"Yes","N/A",IF(K111="","Date missing",IF(TODAY()&gt;=L111,"Review due",IF(TODAY()+90&gt;=L111,"Review soon","Current"))))</x:f>
        <x:v>Review soon</x:v>
      </x:c>
      <x:c r="N111" s="17" t="str">
        <x:v>No</x:v>
      </x:c>
      <x:c r="O111" s="19" t="str"/>
    </x:row>
    <x:row r="112">
      <x:c r="A112" s="17" t="str">
        <x:v>Tobin Bramblefoot</x:v>
      </x:c>
      <x:c r="B112" s="17" t="str">
        <x:v>Alive</x:v>
      </x:c>
      <x:c r="C112" s="17" t="str">
        <x:v>No</x:v>
      </x:c>
      <x:c r="D112" s="17" t="str">
        <x:v>No</x:v>
      </x:c>
      <x:c r="E112" s="18" t="str"/>
      <x:c r="F112" s="17" t="str">
        <x:v>Thumpington</x:v>
      </x:c>
      <x:c r="G112" s="19" t="str">
        <x:v>Games and Society correspondent</x:v>
      </x:c>
      <x:c r="H112" s="19" t="str">
        <x:v>Locally created</x:v>
      </x:c>
      <x:c r="I112" s="19" t="str">
        <x:v>Lantern and Ledger Article</x:v>
      </x:c>
      <x:c r="J112" s="19" t="str"/>
      <x:c r="K112" s="38"/>
      <x:c r="L112" s="38" t="str">
        <x:f>IF(OR(D112&lt;&gt;"Yes",K112=""),"",K112+365)</x:f>
      </x:c>
      <x:c r="M112" s="17" t="str">
        <x:f>IF(D112&lt;&gt;"Yes","N/A",IF(K112="","Date missing",IF(TODAY()&gt;=L112,"Review due",IF(TODAY()+90&gt;=L112,"Review soon","Current"))))</x:f>
        <x:v>N/A</x:v>
      </x:c>
      <x:c r="N112" s="17" t="str">
        <x:v>No</x:v>
      </x:c>
      <x:c r="O112" s="19" t="str"/>
    </x:row>
    <x:row r="113">
      <x:c r="A113" s="17" t="str">
        <x:v>Tok-Tekt</x:v>
      </x:c>
      <x:c r="B113" s="17" t="str">
        <x:v>Alive</x:v>
      </x:c>
      <x:c r="C113" s="17" t="str">
        <x:v>No</x:v>
      </x:c>
      <x:c r="D113" s="17" t="str">
        <x:v>No</x:v>
      </x:c>
      <x:c r="E113" s="18" t="str"/>
      <x:c r="F113" s="17" t="str">
        <x:v>Tok-Nikrat</x:v>
      </x:c>
      <x:c r="G113" s="19" t="str">
        <x:v>Chieftain</x:v>
      </x:c>
      <x:c r="H113" s="19" t="str">
        <x:v>Paizo / campaign</x:v>
      </x:c>
      <x:c r="I113" s="19" t="str">
        <x:v>House of Measured Paths Article</x:v>
      </x:c>
      <x:c r="J113" s="19" t="str">
        <x:v>Dedicated World Anvil person article not found in NPC category.</x:v>
      </x:c>
      <x:c r="K113" s="38"/>
      <x:c r="L113" s="38" t="str">
        <x:f>IF(OR(D113&lt;&gt;"Yes",K113=""),"",K113+365)</x:f>
      </x:c>
      <x:c r="M113" s="17" t="str">
        <x:f>IF(D113&lt;&gt;"Yes","N/A",IF(K113="","Date missing",IF(TODAY()&gt;=L113,"Review due",IF(TODAY()+90&gt;=L113,"Review soon","Current"))))</x:f>
        <x:v>N/A</x:v>
      </x:c>
      <x:c r="N113" s="17" t="str">
        <x:v>No</x:v>
      </x:c>
      <x:c r="O113" s="19" t="str"/>
    </x:row>
    <x:row r="114">
      <x:c r="A114" s="17" t="str">
        <x:v>Tomas Vey</x:v>
      </x:c>
      <x:c r="B114" s="17" t="str">
        <x:v>Alive</x:v>
      </x:c>
      <x:c r="C114" s="17" t="str">
        <x:v>No</x:v>
      </x:c>
      <x:c r="D114" s="17" t="str">
        <x:v>No</x:v>
      </x:c>
      <x:c r="E114" s="18" t="str"/>
      <x:c r="F114" s="17" t="str">
        <x:v>Thumpington</x:v>
      </x:c>
      <x:c r="G114" s="19" t="str">
        <x:v>Lecturer in Agricultural Works</x:v>
      </x:c>
      <x:c r="H114" s="19" t="str">
        <x:v>Locally created</x:v>
      </x:c>
      <x:c r="I114" s="19" t="str">
        <x:v>Free University / Lantern and Ledger articles</x:v>
      </x:c>
      <x:c r="J114" s="19" t="str"/>
      <x:c r="K114" s="38"/>
      <x:c r="L114" s="38" t="str">
        <x:f>IF(OR(D114&lt;&gt;"Yes",K114=""),"",K114+365)</x:f>
      </x:c>
      <x:c r="M114" s="17" t="str">
        <x:f>IF(D114&lt;&gt;"Yes","N/A",IF(K114="","Date missing",IF(TODAY()&gt;=L114,"Review due",IF(TODAY()+90&gt;=L114,"Review soon","Current"))))</x:f>
        <x:v>N/A</x:v>
      </x:c>
      <x:c r="N114" s="17" t="str">
        <x:v>No</x:v>
      </x:c>
      <x:c r="O114" s="19" t="str"/>
    </x:row>
    <x:row r="115">
      <x:c r="A115" s="17" t="str">
        <x:v>Tristian</x:v>
      </x:c>
      <x:c r="B115" s="17" t="str">
        <x:v>Alive</x:v>
      </x:c>
      <x:c r="C115" s="17" t="str">
        <x:v>No</x:v>
      </x:c>
      <x:c r="D115" s="17" t="str">
        <x:v>Yes</x:v>
      </x:c>
      <x:c r="E115" s="18" t="str">
        <x:v>https://www.worldanvil.com/w/inner-sea-region-bobzap66/a/tristian-person</x:v>
      </x:c>
      <x:c r="F115" s="17" t="str">
        <x:v>Thumpington</x:v>
      </x:c>
      <x:c r="G115" s="19" t="str">
        <x:v>Priest of Sarenrae; Minister of Magic</x:v>
      </x:c>
      <x:c r="H115" s="19" t="str">
        <x:v>Paizo / campaign-expanded</x:v>
      </x:c>
      <x:c r="I115" s="19" t="str">
        <x:v>Tristian Article; Temple of First Light Article; Tristian's Dawn Article</x:v>
      </x:c>
      <x:c r="J115" s="19" t="str">
        <x:v>Founder and patron of major Sarenite civic institutions.</x:v>
      </x:c>
      <x:c r="K115" s="38" t="n">
        <x:v>46266.666666666664</x:v>
      </x:c>
      <x:c r="L115" s="38" t="n">
        <x:f>IF(OR(D115&lt;&gt;"Yes",K115=""),"",K115+365)</x:f>
        <x:v>46631.666666666664</x:v>
      </x:c>
      <x:c r="M115" s="17" t="str">
        <x:f>IF(D115&lt;&gt;"Yes","N/A",IF(K115="","Date missing",IF(TODAY()&gt;=L115,"Review due",IF(TODAY()+90&gt;=L115,"Review soon","Current"))))</x:f>
        <x:v>Current</x:v>
      </x:c>
      <x:c r="N115" s="17" t="str">
        <x:v>Yes</x:v>
      </x:c>
      <x:c r="O115" s="19" t="str">
        <x:v>Assets\Portraits\Ruling Council\Tristian - Minister of Magic v2.png</x:v>
      </x:c>
    </x:row>
    <x:row r="116">
      <x:c r="A116" s="17" t="str">
        <x:v>Valerie</x:v>
      </x:c>
      <x:c r="B116" s="17" t="str">
        <x:v>Alive</x:v>
      </x:c>
      <x:c r="C116" s="17" t="str">
        <x:v>No</x:v>
      </x:c>
      <x:c r="D116" s="17" t="str">
        <x:v>Yes</x:v>
      </x:c>
      <x:c r="E116" s="18" t="str">
        <x:v>https://www.worldanvil.com/w/inner-sea-region-bobzap66/a/valerie-person</x:v>
      </x:c>
      <x:c r="F116" s="17" t="str">
        <x:v>Republic</x:v>
      </x:c>
      <x:c r="G116" s="19" t="str">
        <x:v>Fighter and companion</x:v>
      </x:c>
      <x:c r="H116" s="19" t="str">
        <x:v>Paizo / campaign</x:v>
      </x:c>
      <x:c r="I116" s="19" t="str">
        <x:v>World Anvil NPC article</x:v>
      </x:c>
      <x:c r="J116" s="19" t="str">
        <x:v>Last known alive.</x:v>
      </x:c>
      <x:c r="K116" s="38"/>
      <x:c r="L116" s="38" t="str">
        <x:f>IF(OR(D116&lt;&gt;"Yes",K116=""),"",K116+365)</x:f>
      </x:c>
      <x:c r="M116" s="17" t="str">
        <x:f>IF(D116&lt;&gt;"Yes","N/A",IF(K116="","Date missing",IF(TODAY()&gt;=L116,"Review due",IF(TODAY()+90&gt;=L116,"Review soon","Current"))))</x:f>
        <x:v>Date missing</x:v>
      </x:c>
      <x:c r="N116" s="17" t="str">
        <x:v>No</x:v>
      </x:c>
      <x:c r="O116" s="19" t="str"/>
    </x:row>
    <x:row r="117">
      <x:c r="A117" s="17" t="str">
        <x:v>Vara Moss</x:v>
      </x:c>
      <x:c r="B117" s="17" t="str">
        <x:v>Alive</x:v>
      </x:c>
      <x:c r="C117" s="17" t="str">
        <x:v>No</x:v>
      </x:c>
      <x:c r="D117" s="17" t="str">
        <x:v>No</x:v>
      </x:c>
      <x:c r="E117" s="18" t="str"/>
      <x:c r="F117" s="17" t="str">
        <x:v>Greengripe</x:v>
      </x:c>
      <x:c r="G117" s="19" t="str">
        <x:v>Herbal Buyer, Fizzlesticks &amp; Co.</x:v>
      </x:c>
      <x:c r="H117" s="19" t="str">
        <x:v>Locally created</x:v>
      </x:c>
      <x:c r="I117" s="19" t="str">
        <x:v>Fizzlesticks &amp; Co. Article</x:v>
      </x:c>
      <x:c r="J117" s="19" t="str"/>
      <x:c r="K117" s="38"/>
      <x:c r="L117" s="38" t="str">
        <x:f>IF(OR(D117&lt;&gt;"Yes",K117=""),"",K117+365)</x:f>
      </x:c>
      <x:c r="M117" s="17" t="str">
        <x:f>IF(D117&lt;&gt;"Yes","N/A",IF(K117="","Date missing",IF(TODAY()&gt;=L117,"Review due",IF(TODAY()+90&gt;=L117,"Review soon","Current"))))</x:f>
        <x:v>N/A</x:v>
      </x:c>
      <x:c r="N117" s="17" t="str">
        <x:v>No</x:v>
      </x:c>
      <x:c r="O117" s="19" t="str"/>
    </x:row>
    <x:row r="118">
      <x:c r="A118" s="20" t="str">
        <x:v>Varka Stonekettle</x:v>
      </x:c>
      <x:c r="B118" s="20" t="str">
        <x:v>Alive</x:v>
      </x:c>
      <x:c r="C118" s="20" t="str">
        <x:v>No</x:v>
      </x:c>
      <x:c r="D118" s="20" t="str">
        <x:v>No</x:v>
      </x:c>
      <x:c r="E118" s="21" t="str"/>
      <x:c r="F118" s="20" t="str">
        <x:v>Thumpington</x:v>
      </x:c>
      <x:c r="G118" s="22" t="str">
        <x:v>Steward, Tristian's Dawn</x:v>
      </x:c>
      <x:c r="H118" s="22" t="str">
        <x:v>Locally created</x:v>
      </x:c>
      <x:c r="I118" s="22" t="str">
        <x:v>Tristian's Dawn Article</x:v>
      </x:c>
      <x:c r="J118" s="22" t="str"/>
      <x:c r="K118" s="39"/>
      <x:c r="L118" s="39" t="str">
        <x:f>IF(OR(D118&lt;&gt;"Yes",K118=""),"",K118+365)</x:f>
      </x:c>
      <x:c r="M118" s="20" t="str">
        <x:f>IF(D118&lt;&gt;"Yes","N/A",IF(K118="","Date missing",IF(TODAY()&gt;=L118,"Review due",IF(TODAY()+90&gt;=L118,"Review soon","Current"))))</x:f>
        <x:v>N/A</x:v>
      </x:c>
      <x:c r="N118" s="20" t="str">
        <x:v>No</x:v>
      </x:c>
      <x:c r="O118" s="22" t="str"/>
    </x:row>
  </x:sheetData>
  <x:mergeCells>
    <x:mergeCell ref="A1:O1"/>
    <x:mergeCell ref="A2:O2"/>
  </x:mergeCells>
  <x:conditionalFormatting sqref="B5:B118">
    <x:cfRule type="containsText" dxfId="0" priority="1" operator="containsText" text="Dead"/>
    <x:cfRule type="containsText" dxfId="1" priority="2" operator="containsText" text="Unknown"/>
    <x:cfRule type="containsText" dxfId="2" priority="3" operator="containsText" text="Retired"/>
  </x:conditionalFormatting>
  <x:conditionalFormatting sqref="D5:D118">
    <x:cfRule type="containsText" dxfId="3" priority="4" operator="containsText" text="No"/>
  </x:conditionalFormatting>
  <x:conditionalFormatting sqref="M5:M118">
    <x:cfRule type="containsText" dxfId="4" priority="5" operator="containsText" text="Review due"/>
    <x:cfRule type="containsText" dxfId="5" priority="6" operator="containsText" text="Review soon"/>
    <x:cfRule type="containsText" dxfId="6" priority="7" operator="containsText" text="Date missing"/>
    <x:cfRule type="containsText" dxfId="7" priority="8" operator="containsText" text="Current"/>
  </x:conditionalFormatting>
  <x:conditionalFormatting sqref="N5:N118">
    <x:cfRule type="containsText" dxfId="8" priority="9" operator="containsText" text="Yes"/>
  </x:conditionalFormatting>
  <x:dataValidations count="4">
    <x:dataValidation type="list" sqref="B5:B118">
      <x:formula1>"Alive,Dead,Retired (alive),Unknown"</x:formula1>
    </x:dataValidation>
    <x:dataValidation type="list" sqref="C5:C118">
      <x:formula1>"Yes,No,Unknown"</x:formula1>
    </x:dataValidation>
    <x:dataValidation type="list" sqref="D5:D118">
      <x:formula1>"Yes,No"</x:formula1>
    </x:dataValidation>
    <x:dataValidation type="list" sqref="N5:N118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f295b12aff466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4" hidden="0" customWidth="1"/>
    <x:col min="3" max="3" width="3" hidden="0" customWidth="1"/>
    <x:col min="4" max="4" width="18" hidden="0" customWidth="1"/>
    <x:col min="5" max="5" width="18" hidden="0" customWidth="1"/>
    <x:col min="6" max="6" width="55" hidden="0" customWidth="1"/>
  </x:cols>
  <x:sheetData>
    <x:row r="1" ht="30" customHeight="1">
      <x:c r="A1" s="27" t="str">
        <x:v>NPC REFERENCE — SUMMARY &amp; LEGEND</x:v>
      </x:c>
      <x:c r="B1" s="27"/>
      <x:c r="C1" s="27"/>
      <x:c r="D1" s="27"/>
      <x:c r="E1" s="27"/>
      <x:c r="F1" s="27"/>
    </x:row>
    <x:row r="2">
      <x:c r="A2" s="13"/>
      <x:c r="B2" s="13"/>
      <x:c r="C2" s="13"/>
      <x:c r="D2" s="13"/>
      <x:c r="E2" s="13"/>
      <x:c r="F2" s="13"/>
    </x:row>
    <x:row r="3">
      <x:c r="A3" s="28" t="str">
        <x:v>Metric</x:v>
      </x:c>
      <x:c r="B3" s="28" t="str">
        <x:v>Count</x:v>
      </x:c>
      <x:c r="C3" s="13"/>
      <x:c r="D3" s="28" t="str">
        <x:v>Field</x:v>
      </x:c>
      <x:c r="E3" s="28" t="str">
        <x:v>Value</x:v>
      </x:c>
      <x:c r="F3" s="28" t="str">
        <x:v>Meaning</x:v>
      </x:c>
    </x:row>
    <x:row r="4">
      <x:c r="A4" s="29" t="str">
        <x:v>Total NPC records</x:v>
      </x:c>
      <x:c r="B4" s="29" t="n">
        <x:f>COUNTA('NPC Index'!$A$5:$A$118)</x:f>
        <x:v>114</x:v>
      </x:c>
      <x:c r="C4" s="13"/>
      <x:c r="D4" s="29" t="str">
        <x:v>Status</x:v>
      </x:c>
      <x:c r="E4" s="29" t="str">
        <x:v>Alive</x:v>
      </x:c>
      <x:c r="F4" s="29" t="str">
        <x:v>Last known alive in campaign continuity</x:v>
      </x:c>
    </x:row>
    <x:row r="5">
      <x:c r="A5" s="17" t="str">
        <x:v>World Anvil NPC articles</x:v>
      </x:c>
      <x:c r="B5" s="17" t="n">
        <x:f>COUNTIF('NPC Index'!$D$5:$D$118,"Yes")</x:f>
        <x:v>51</x:v>
      </x:c>
      <x:c r="C5" s="13"/>
      <x:c r="D5" s="17" t="str">
        <x:v>Status</x:v>
      </x:c>
      <x:c r="E5" s="17" t="str">
        <x:v>Dead</x:v>
      </x:c>
      <x:c r="F5" s="17" t="str">
        <x:v>Death established in campaign record</x:v>
      </x:c>
    </x:row>
    <x:row r="6">
      <x:c r="A6" s="17" t="str">
        <x:v>Without a dedicated WA article</x:v>
      </x:c>
      <x:c r="B6" s="17" t="n">
        <x:f>COUNTIF('NPC Index'!$D$5:$D$118,"No")</x:f>
        <x:v>63</x:v>
      </x:c>
      <x:c r="C6" s="13"/>
      <x:c r="D6" s="17" t="str">
        <x:v>Status</x:v>
      </x:c>
      <x:c r="E6" s="17" t="str">
        <x:v>Retired (alive)</x:v>
      </x:c>
      <x:c r="F6" s="17" t="str">
        <x:v>Alive but no longer holding the listed former office</x:v>
      </x:c>
    </x:row>
    <x:row r="7">
      <x:c r="A7" s="17" t="str">
        <x:v>Confirmed dead</x:v>
      </x:c>
      <x:c r="B7" s="17" t="n">
        <x:f>COUNTIF('NPC Index'!$C$5:$C$118,"Yes")</x:f>
        <x:v>8</x:v>
      </x:c>
      <x:c r="C7" s="13"/>
      <x:c r="D7" s="17" t="str">
        <x:v>Status</x:v>
      </x:c>
      <x:c r="E7" s="17" t="str">
        <x:v>Unknown</x:v>
      </x:c>
      <x:c r="F7" s="17" t="str">
        <x:v>Reviewed sources did not establish current fate</x:v>
      </x:c>
    </x:row>
    <x:row r="8">
      <x:c r="A8" s="30" t="str">
        <x:v>Status unknown</x:v>
      </x:c>
      <x:c r="B8" s="30" t="n">
        <x:f>COUNTIF('NPC Index'!$B$5:$B$118,"Unknown")</x:f>
        <x:v>3</x:v>
      </x:c>
      <x:c r="C8" s="13"/>
      <x:c r="D8" s="30" t="str">
        <x:v>Deceased?</x:v>
      </x:c>
      <x:c r="E8" s="30" t="str">
        <x:v>Unknown</x:v>
      </x:c>
      <x:c r="F8" s="30" t="str">
        <x:v>Do not infer death from absence or Paizo default outcomes</x:v>
      </x:c>
    </x:row>
    <x:row r="9">
      <x:c r="A9" s="29" t="str">
        <x:v>Articles due for review</x:v>
      </x:c>
      <x:c r="B9" s="29" t="n">
        <x:f>COUNTIF('NPC Index'!$M$5:$M$118,"Review due")</x:f>
        <x:v>0</x:v>
      </x:c>
      <x:c r="C9" s="13"/>
      <x:c r="D9" s="13"/>
      <x:c r="E9" s="13"/>
      <x:c r="F9" s="13"/>
    </x:row>
    <x:row r="10">
      <x:c r="A10" s="24" t="str">
        <x:v>Articles due within 90 days</x:v>
      </x:c>
      <x:c r="B10" s="24" t="n">
        <x:f>COUNTIF('NPC Index'!$M$5:$M$118,"Review soon")</x:f>
        <x:v>32</x:v>
      </x:c>
      <x:c r="C10"/>
      <x:c r="D10"/>
      <x:c r="E10"/>
      <x:c r="F10"/>
    </x:row>
    <x:row r="11" ht="15" hidden="0" customHeight="1">
      <x:c r="A11" s="25" t="str">
        <x:v>NPCs with local artwork</x:v>
      </x:c>
      <x:c r="B11" s="25" t="n">
        <x:f>COUNTIF('NPC Index'!$N$5:$N$118,"Yes")</x:f>
        <x:v>5</x:v>
      </x:c>
      <x:c r="C11"/>
      <x:c r="D11"/>
      <x:c r="E11"/>
      <x:c r="F11"/>
    </x:row>
    <x:row r="12" ht="15" hidden="0" customHeight="1">
      <x:c r="A12"/>
      <x:c r="B12"/>
      <x:c r="C12"/>
      <x:c r="D12"/>
      <x:c r="E12"/>
      <x:c r="F12"/>
    </x:row>
    <x:row r="13" ht="24" hidden="0" customHeight="1">
      <x:c r="A13" s="33" t="str">
        <x:v>SCOPE AND MAINTENANCE</x:v>
      </x:c>
      <x:c r="B13" s="33"/>
      <x:c r="C13" s="33"/>
      <x:c r="D13" s="33"/>
      <x:c r="E13" s="33"/>
      <x:c r="F13" s="33"/>
    </x:row>
    <x:row r="14" ht="48" hidden="0" customHeight="1">
      <x:c r="A14" s="14" t="str">
        <x:v>Last reviewed</x:v>
      </x:c>
      <x:c r="B14" s="14" t="str">
        <x:v>2026-09-02</x:v>
      </x:c>
      <x:c r="C14" s="14" t="str"/>
      <x:c r="D14" s="14" t="str"/>
      <x:c r="E14" s="14" t="str"/>
      <x:c r="F14" s="14" t="str"/>
    </x:row>
    <x:row r="15" ht="48" hidden="0" customHeight="1">
      <x:c r="A15" s="14" t="str">
        <x:v>World Anvil scope</x:v>
      </x:c>
      <x:c r="B15" s="14" t="str">
        <x:v>NPC category (51 dedicated character articles)</x:v>
      </x:c>
      <x:c r="C15" s="14" t="str"/>
      <x:c r="D15" s="14" t="str"/>
      <x:c r="E15" s="14" t="str"/>
      <x:c r="F15" s="14" t="str"/>
    </x:row>
    <x:row r="16" ht="48" hidden="0" customHeight="1">
      <x:c r="A16" s="14" t="str">
        <x:v>Review cadence</x:v>
      </x:c>
      <x:c r="B16" s="14" t="str">
        <x:v>Annual. Review Status changes to Review soon 90 days before the due date.</x:v>
      </x:c>
      <x:c r="C16" s="14" t="str"/>
      <x:c r="D16" s="14" t="str"/>
      <x:c r="E16" s="14" t="str"/>
      <x:c r="F16" s="14" t="str"/>
    </x:row>
    <x:row r="17" ht="48" customHeight="1">
      <x:c r="A17" s="14" t="str">
        <x:v>Artwork scope</x:v>
      </x:c>
      <x:c r="B17" s="14" t="str">
        <x:v>Artwork means a character-specific file found locally under the World Anvil folder; incidental appearances in settlement scenes are not counted.</x:v>
      </x:c>
      <x:c r="C17" s="14" t="str"/>
      <x:c r="D17" s="14" t="str"/>
      <x:c r="E17" s="14" t="str"/>
      <x:c r="F17" s="14" t="str"/>
    </x:row>
    <x:row r="18" ht="48" customHeight="1">
      <x:c r="A18" s="14" t="str">
        <x:v>Player characters</x:v>
      </x:c>
      <x:c r="B18" s="14" t="str">
        <x:v>Excluded from this NPC index. Velka and the other Tubthumpers may appear in source notes but are not indexed as NPCs.</x:v>
      </x:c>
      <x:c r="C18" s="14" t="str"/>
      <x:c r="D18" s="14" t="str"/>
      <x:c r="E18" s="14" t="str"/>
      <x:c r="F18" s="14" t="str"/>
    </x:row>
    <x:row r="19" ht="48" customHeight="1">
      <x:c r="A19" s="14" t="str">
        <x:v>Update practice</x:v>
      </x:c>
      <x:c r="B19" s="14" t="str">
        <x:v>When an article is revised, replace its Last Updated date. The next review and status recalculate automatically.</x:v>
      </x:c>
      <x:c r="C19" s="14" t="str"/>
      <x:c r="D19" s="14" t="str"/>
      <x:c r="E19" s="14" t="str"/>
      <x:c r="F19" s="14" t="str"/>
    </x:row>
  </x:sheetData>
  <x:mergeCells>
    <x:mergeCell ref="A1:F1"/>
    <x:mergeCell ref="A13:F13"/>
  </x:mergeCells>
  <x:pageMargins left="0.7" right="0.7" top="0.75" bottom="0.75" header="0.3" footer="0.3"/>
</x:worksheet>
</file>