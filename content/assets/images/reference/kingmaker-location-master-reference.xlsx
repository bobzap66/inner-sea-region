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7037ed1d6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lement Index" sheetId="1" r:id="R27b7da42fe9d41f3"/>
    <x:sheet xmlns:r="http://schemas.openxmlformats.org/officeDocument/2006/relationships" name="Embeth Hall" sheetId="2" r:id="Rb802d93850c84e18"/>
    <x:sheet xmlns:r="http://schemas.openxmlformats.org/officeDocument/2006/relationships" name="Fort Drelev" sheetId="3" r:id="R1cba6a76aa924eb2"/>
    <x:sheet xmlns:r="http://schemas.openxmlformats.org/officeDocument/2006/relationships" name="Fort Serenko" sheetId="4" r:id="Reed2b776eb7a434a"/>
    <x:sheet xmlns:r="http://schemas.openxmlformats.org/officeDocument/2006/relationships" name="Fort Tuskwater" sheetId="5" r:id="Rd8e638d6c7554a3d"/>
    <x:sheet xmlns:r="http://schemas.openxmlformats.org/officeDocument/2006/relationships" name="Greengripe" sheetId="6" r:id="R8f5ebc689afc4e2e"/>
    <x:sheet xmlns:r="http://schemas.openxmlformats.org/officeDocument/2006/relationships" name="Longtail Island" sheetId="7" r:id="R765efef30ffb4c48"/>
    <x:sheet xmlns:r="http://schemas.openxmlformats.org/officeDocument/2006/relationships" name="Olegton" sheetId="8" r:id="R754cea2641114d19"/>
    <x:sheet xmlns:r="http://schemas.openxmlformats.org/officeDocument/2006/relationships" name="Pitax" sheetId="9" r:id="Ree7c0917271e4f10"/>
    <x:sheet xmlns:r="http://schemas.openxmlformats.org/officeDocument/2006/relationships" name="Sootscale Valley" sheetId="10" r:id="R8d8787622c0c4f28"/>
    <x:sheet xmlns:r="http://schemas.openxmlformats.org/officeDocument/2006/relationships" name="Tatzlford" sheetId="11" r:id="R5ba42e01f90d4877"/>
    <x:sheet xmlns:r="http://schemas.openxmlformats.org/officeDocument/2006/relationships" name="Thumpington" sheetId="12" r:id="R564813de16844ef5"/>
    <x:sheet xmlns:r="http://schemas.openxmlformats.org/officeDocument/2006/relationships" name="Tok-Nikrat" sheetId="13" r:id="R10a2b02b73ab4564"/>
    <x:sheet xmlns:r="http://schemas.openxmlformats.org/officeDocument/2006/relationships" name="Varnhold" sheetId="14" r:id="R4b3b601f67fa4d61"/>
    <x:sheet xmlns:r="http://schemas.openxmlformats.org/officeDocument/2006/relationships" name="Willowfen" sheetId="15" r:id="Rcb022be61c874bb3"/>
    <x:sheet xmlns:r="http://schemas.openxmlformats.org/officeDocument/2006/relationships" name="Other Locations" sheetId="16" r:id="R84ec3a50342e42fb"/>
    <x:sheet xmlns:r="http://schemas.openxmlformats.org/officeDocument/2006/relationships" name="Summary &amp; Legend" sheetId="17" r:id="R1b45357be143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7E7C6"/>
      <x:name val="Carlito"/>
    </x:font>
    <x:font>
      <x:i/>
      <x:sz val="10"/>
      <x:color rgb="FF4A2F1B"/>
      <x:name val="Carlito"/>
    </x:font>
    <x:font>
      <x:b/>
      <x:sz val="11"/>
      <x:color rgb="FFFFFFFF"/>
      <x:name val="Carlito"/>
    </x:font>
    <x:font>
      <x:sz val="9"/>
      <x:color rgb="FF1155C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A2F1B"/>
      </x:patternFill>
    </x:fill>
    <x:fill>
      <x:patternFill patternType="solid">
        <x:fgColor rgb="FFEAD9B7"/>
      </x:patternFill>
    </x:fill>
    <x:fill>
      <x:patternFill patternType="solid">
        <x:fgColor rgb="FF7B4F2C"/>
      </x:patternFill>
    </x:fill>
  </x:fills>
  <x:borders count="4">
    <x:border/>
    <x:border>
      <x:bottom style="thin">
        <x:color rgb="FFD8C9B3"/>
      </x:bottom>
    </x:border>
    <x:border>
      <x:top style="thin">
        <x:color rgb="FFD8C9B3"/>
      </x:top>
      <x:bottom style="thin">
        <x:color rgb="FFD8C9B3"/>
      </x:bottom>
    </x:border>
    <x:border>
      <x:top style="thin">
        <x:color rgb="FFD8C9B3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74"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f639cd4ef45d0" /><Relationship Type="http://schemas.openxmlformats.org/officeDocument/2006/relationships/theme" Target="/xl/theme/theme1.xml" Id="R1c134ebb69f44626" /><Relationship Type="http://schemas.openxmlformats.org/officeDocument/2006/relationships/sharedStrings" Target="/xl/sharedStrings.xml" Id="R9cd6fcd91a534875" /><Relationship Type="http://schemas.openxmlformats.org/officeDocument/2006/relationships/worksheet" Target="/xl/worksheets/sheet1.xml" Id="R27b7da42fe9d41f3" /><Relationship Type="http://schemas.openxmlformats.org/officeDocument/2006/relationships/worksheet" Target="/xl/worksheets/sheet2.xml" Id="Rb802d93850c84e18" /><Relationship Type="http://schemas.openxmlformats.org/officeDocument/2006/relationships/worksheet" Target="/xl/worksheets/sheet3.xml" Id="R1cba6a76aa924eb2" /><Relationship Type="http://schemas.openxmlformats.org/officeDocument/2006/relationships/worksheet" Target="/xl/worksheets/sheet4.xml" Id="Reed2b776eb7a434a" /><Relationship Type="http://schemas.openxmlformats.org/officeDocument/2006/relationships/worksheet" Target="/xl/worksheets/sheet5.xml" Id="Rd8e638d6c7554a3d" /><Relationship Type="http://schemas.openxmlformats.org/officeDocument/2006/relationships/worksheet" Target="/xl/worksheets/sheet6.xml" Id="R8f5ebc689afc4e2e" /><Relationship Type="http://schemas.openxmlformats.org/officeDocument/2006/relationships/worksheet" Target="/xl/worksheets/sheet7.xml" Id="R765efef30ffb4c48" /><Relationship Type="http://schemas.openxmlformats.org/officeDocument/2006/relationships/worksheet" Target="/xl/worksheets/sheet8.xml" Id="R754cea2641114d19" /><Relationship Type="http://schemas.openxmlformats.org/officeDocument/2006/relationships/worksheet" Target="/xl/worksheets/sheet9.xml" Id="Ree7c0917271e4f10" /><Relationship Type="http://schemas.openxmlformats.org/officeDocument/2006/relationships/worksheet" Target="/xl/worksheets/sheet10.xml" Id="R8d8787622c0c4f28" /><Relationship Type="http://schemas.openxmlformats.org/officeDocument/2006/relationships/worksheet" Target="/xl/worksheets/sheet11.xml" Id="R5ba42e01f90d4877" /><Relationship Type="http://schemas.openxmlformats.org/officeDocument/2006/relationships/worksheet" Target="/xl/worksheets/sheet12.xml" Id="R564813de16844ef5" /><Relationship Type="http://schemas.openxmlformats.org/officeDocument/2006/relationships/worksheet" Target="/xl/worksheets/sheet13.xml" Id="R10a2b02b73ab4564" /><Relationship Type="http://schemas.openxmlformats.org/officeDocument/2006/relationships/worksheet" Target="/xl/worksheets/sheet14.xml" Id="R4b3b601f67fa4d61" /><Relationship Type="http://schemas.openxmlformats.org/officeDocument/2006/relationships/worksheet" Target="/xl/worksheets/sheet15.xml" Id="Rcb022be61c874bb3" /><Relationship Type="http://schemas.openxmlformats.org/officeDocument/2006/relationships/worksheet" Target="/xl/worksheets/sheet16.xml" Id="R84ec3a50342e42fb" /><Relationship Type="http://schemas.openxmlformats.org/officeDocument/2006/relationships/worksheet" Target="/xl/worksheets/sheet17.xml" Id="R1b45357be14349b8" /></Relationships>
</file>

<file path=xl/tables/table1.xml><?xml version="1.0" encoding="utf-8"?>
<x:table xmlns:x="http://schemas.openxmlformats.org/spreadsheetml/2006/main" id="1" name="SettlementIndexTable" displayName="SettlementIndexTable" ref="A4:O18" headerRowCount="1" totalsRowCount="0" totalsRowShown="0">
  <x:autoFilter ref="A4:O18"/>
  <x:tableColumns count="15">
    <x:tableColumn id="1" name="Settlement"/>
    <x:tableColumn id="2" name="Political / Civic Status"/>
    <x:tableColumn id="3" name="World Anvil Article?"/>
    <x:tableColumn id="4" name="WA Template"/>
    <x:tableColumn id="5" name="WA URL"/>
    <x:tableColumn id="6" name="WA Last Updated"/>
    <x:tableColumn id="7" name="Next Review Due"/>
    <x:tableColumn id="8" name="Review Status"/>
    <x:tableColumn id="9" name="Local Settlement Article?"/>
    <x:tableColumn id="10" name="Local Article File"/>
    <x:tableColumn id="11" name="Settlement Artwork?"/>
    <x:tableColumn id="12" name="Artwork File"/>
    <x:tableColumn id="13" name="Named Location Count"/>
    <x:tableColumn id="14" name="Infrastructure Count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bethHallLocations" displayName="EmbethHallLocations" ref="A4:O17" headerRowCount="1" totalsRowCount="0" totalsRowShown="0">
  <x:autoFilter ref="A4:O17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tDrelevLocations" displayName="FortDrelevLocations" ref="A4:O10" headerRowCount="1" totalsRowCount="0" totalsRowShown="0">
  <x:autoFilter ref="A4:O10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tSerenkoLocations" displayName="FortSerenkoLocations" ref="A4:O12" headerRowCount="1" totalsRowCount="0" totalsRowShown="0">
  <x:autoFilter ref="A4:O12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rtTuskwaterLocations" displayName="FortTuskwaterLocations" ref="A4:O14" headerRowCount="1" totalsRowCount="0" totalsRowShown="0">
  <x:autoFilter ref="A4:O14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reengripeLocations" displayName="GreengripeLocations" ref="A4:O23" headerRowCount="1" totalsRowCount="0" totalsRowShown="0">
  <x:autoFilter ref="A4:O23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ongtailIslandLocations" displayName="LongtailIslandLocations" ref="A4:O21" headerRowCount="1" totalsRowCount="0" totalsRowShown="0">
  <x:autoFilter ref="A4:O21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legtonLocations" displayName="OlegtonLocations" ref="A4:O25" headerRowCount="1" totalsRowCount="0" totalsRowShown="0">
  <x:autoFilter ref="A4:O25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itaxLocations" displayName="PitaxLocations" ref="A4:O5" headerRowCount="1" totalsRowCount="0" totalsRowShown="0">
  <x:autoFilter ref="A4:O5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otscaleValleyLocations" displayName="SootscaleValleyLocations" ref="A4:O20" headerRowCount="1" totalsRowCount="0" totalsRowShown="0">
  <x:autoFilter ref="A4:O20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tzlfordLocations" displayName="TatzlfordLocations" ref="A4:O23" headerRowCount="1" totalsRowCount="0" totalsRowShown="0">
  <x:autoFilter ref="A4:O23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humpingtonLocations" displayName="ThumpingtonLocations" ref="A4:O38" headerRowCount="1" totalsRowCount="0" totalsRowShown="0">
  <x:autoFilter ref="A4:O38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okNikratLocations" displayName="TokNikratLocations" ref="A4:O12" headerRowCount="1" totalsRowCount="0" totalsRowShown="0">
  <x:autoFilter ref="A4:O12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VarnholdLocations" displayName="VarnholdLocations" ref="A4:O24" headerRowCount="1" totalsRowCount="0" totalsRowShown="0">
  <x:autoFilter ref="A4:O24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WillowfenLocations" displayName="WillowfenLocations" ref="A4:O12" headerRowCount="1" totalsRowCount="0" totalsRowShown="0">
  <x:autoFilter ref="A4:O12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OtherLocationsTable" displayName="OtherLocationsTable" ref="A4:O5" headerRowCount="1" totalsRowCount="0" totalsRowShown="0">
  <x:autoFilter ref="A4:O5"/>
  <x:tableColumns count="15">
    <x:tableColumn id="1" name="Location / Feature"/>
    <x:tableColumn id="2" name="Type"/>
    <x:tableColumn id="3" name="Named?"/>
    <x:tableColumn id="4" name="Dedicated WA Article?"/>
    <x:tableColumn id="5" name="WA URL"/>
    <x:tableColumn id="6" name="WA Last Updated"/>
    <x:tableColumn id="7" name="Next Review Due"/>
    <x:tableColumn id="8" name="Review Status"/>
    <x:tableColumn id="9" name="Local Article?"/>
    <x:tableColumn id="10" name="Local Article File"/>
    <x:tableColumn id="11" name="Artwork?"/>
    <x:tableColumn id="12" name="Artwork File"/>
    <x:tableColumn id="13" name="Key NPCs"/>
    <x:tableColumn id="14" name="Source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ff9f43a3474c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28ebd256ab42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836cfd756945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c8aa7c41fad43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2874ac413d4e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d1d76be8c949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79c0deb150744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d74137010d74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aa0a320309a4b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144d31cade445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70c4696b04045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976986e1b0146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cdcdb763f0847c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b7ddb75da5a432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dde2e9c3c91466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043b51d98c44b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18" hidden="0" customWidth="1"/>
    <x:col min="4" max="4" width="16" hidden="0" customWidth="1"/>
    <x:col min="5" max="5" width="62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48" hidden="0" customWidth="1"/>
    <x:col min="11" max="11" width="18" hidden="0" customWidth="1"/>
    <x:col min="12" max="12" width="42" hidden="0" customWidth="1"/>
    <x:col min="13" max="13" width="18" hidden="0" customWidth="1"/>
    <x:col min="14" max="14" width="18" hidden="0" customWidth="1"/>
    <x:col min="15" max="15" width="56" hidden="0" customWidth="1"/>
  </x:cols>
  <x:sheetData>
    <x:row r="1" ht="30" customHeight="1">
      <x:c r="A1" s="4" t="str">
        <x:v>KINGMAKER LOCATION MASTER REFERENCE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Settlement coverage, World Anvil maintenance, local article files, and supporting artwork. Review dates use an annual cadence with a 90-day warning window.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Settlement</x:v>
      </x:c>
      <x:c r="B4" s="12" t="str">
        <x:v>Political / Civic Status</x:v>
      </x:c>
      <x:c r="C4" s="12" t="str">
        <x:v>World Anvil Article?</x:v>
      </x:c>
      <x:c r="D4" s="12" t="str">
        <x:v>WA Template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Settlement Article?</x:v>
      </x:c>
      <x:c r="J4" s="12" t="str">
        <x:v>Local Article File</x:v>
      </x:c>
      <x:c r="K4" s="12" t="str">
        <x:v>Settlement Artwork?</x:v>
      </x:c>
      <x:c r="L4" s="12" t="str">
        <x:v>Artwork File</x:v>
      </x:c>
      <x:c r="M4" s="12" t="str">
        <x:v>Named Location Count</x:v>
      </x:c>
      <x:c r="N4" s="12" t="str">
        <x:v>Infrastructure Count</x:v>
      </x:c>
      <x:c r="O4" s="12" t="str">
        <x:v>Notes</x:v>
      </x:c>
    </x:row>
    <x:row r="5">
      <x:c r="A5" s="13" t="str">
        <x:v>Embeth Hall</x:v>
      </x:c>
      <x:c r="B5" s="14" t="str">
        <x:v>Republic settlement; travelers' hub</x:v>
      </x:c>
      <x:c r="C5" s="13" t="str">
        <x:v>Yes</x:v>
      </x:c>
      <x:c r="D5" s="13" t="str">
        <x:v>Settlement</x:v>
      </x:c>
      <x:c r="E5" s="13" t="str">
        <x:v>https://www.worldanvil.com/w/inner-sea-region-bobzap66/a/embeth-hall-settlement</x:v>
      </x:c>
      <x:c r="F5" s="15" t="n">
        <x:v>46001.708333333336</x:v>
      </x:c>
      <x:c r="G5" s="15" t="n">
        <x:f>IF(F5="","",EDATE(F5,12))</x:f>
        <x:v>46366</x:v>
      </x:c>
      <x:c r="H5" s="13" t="str">
        <x:f>IF(F5="","Date missing",IF(G5&lt;TODAY(),"Review due",IF(G5&lt;=TODAY()+90,"Review soon","Current")))</x:f>
        <x:v>Current</x:v>
      </x:c>
      <x:c r="I5" s="13" t="str">
        <x:v>No</x:v>
      </x:c>
      <x:c r="J5" s="13" t="str"/>
      <x:c r="K5" s="13" t="str">
        <x:v>No</x:v>
      </x:c>
      <x:c r="L5" s="13" t="str"/>
      <x:c r="M5" s="13" t="n">
        <x:f>COUNTIF('Embeth Hall'!$C$5:$C$200,"Yes")</x:f>
        <x:v>2</x:v>
      </x:c>
      <x:c r="N5" s="13" t="n">
        <x:f>COUNTIF('Embeth Hall'!$A$5:$A$200,"&lt;&gt;")-M5</x:f>
        <x:v>11</x:v>
      </x:c>
      <x:c r="O5" s="14" t="str">
        <x:v>Settlement article exists on World Anvil; local work currently focuses on the White Lantern.</x:v>
      </x:c>
    </x:row>
    <x:row r="6">
      <x:c r="A6" s="13" t="str">
        <x:v>Fort Drelev</x:v>
      </x:c>
      <x:c r="B6" s="14" t="str">
        <x:v>Liberated former barony; political transition</x:v>
      </x:c>
      <x:c r="C6" s="13" t="str">
        <x:v>Yes</x:v>
      </x:c>
      <x:c r="D6" s="13" t="str">
        <x:v>Organization</x:v>
      </x:c>
      <x:c r="E6" s="13" t="str">
        <x:v>https://www.worldanvil.com/w/inner-sea-region-bobzap66/a/fort-drelev-organization</x:v>
      </x:c>
      <x:c r="F6" s="15" t="n">
        <x:v>45982.708333333336</x:v>
      </x:c>
      <x:c r="G6" s="15" t="n">
        <x:f>IF(F6="","",EDATE(F6,12))</x:f>
        <x:v>46347</x:v>
      </x:c>
      <x:c r="H6" s="13" t="str">
        <x:f>IF(F6="","Date missing",IF(G6&lt;TODAY(),"Review due",IF(G6&lt;=TODAY()+90,"Review soon","Current")))</x:f>
        <x:v>Review soon</x:v>
      </x:c>
      <x:c r="I6" s="13" t="str">
        <x:v>No</x:v>
      </x:c>
      <x:c r="J6" s="13" t="str"/>
      <x:c r="K6" s="13" t="str">
        <x:v>No</x:v>
      </x:c>
      <x:c r="L6" s="13" t="str"/>
      <x:c r="M6" s="13" t="n">
        <x:f>COUNTIF('Fort Drelev'!$C$5:$C$200,"Yes")</x:f>
        <x:v>1</x:v>
      </x:c>
      <x:c r="N6" s="13" t="n">
        <x:f>COUNTIF('Fort Drelev'!$A$5:$A$200,"&lt;&gt;")-M6</x:f>
        <x:v>5</x:v>
      </x:c>
      <x:c r="O6" s="14" t="str">
        <x:v>Continuity priority: existing World Anvil article predates Drelev's fall and liberation.</x:v>
      </x:c>
    </x:row>
    <x:row r="7">
      <x:c r="A7" s="13" t="str">
        <x:v>Fort Serenko</x:v>
      </x:c>
      <x:c r="B7" s="14" t="str">
        <x:v>Frontier fort and lumber town</x:v>
      </x:c>
      <x:c r="C7" s="13" t="str">
        <x:v>Yes</x:v>
      </x:c>
      <x:c r="D7" s="13" t="str">
        <x:v>Settlement</x:v>
      </x:c>
      <x:c r="E7" s="13" t="str">
        <x:v>https://www.worldanvil.com/w/inner-sea-region-bobzap66/a/fort-serenko-settlement</x:v>
      </x:c>
      <x:c r="F7" s="15" t="n">
        <x:v>46001.708333333336</x:v>
      </x:c>
      <x:c r="G7" s="15" t="n">
        <x:f>IF(F7="","",EDATE(F7,12))</x:f>
        <x:v>46366</x:v>
      </x:c>
      <x:c r="H7" s="13" t="str">
        <x:f>IF(F7="","Date missing",IF(G7&lt;TODAY(),"Review due",IF(G7&lt;=TODAY()+90,"Review soon","Current")))</x:f>
        <x:v>Current</x:v>
      </x:c>
      <x:c r="I7" s="13" t="str">
        <x:v>No</x:v>
      </x:c>
      <x:c r="J7" s="13" t="str"/>
      <x:c r="K7" s="13" t="str">
        <x:v>No</x:v>
      </x:c>
      <x:c r="L7" s="13" t="str"/>
      <x:c r="M7" s="13" t="n">
        <x:f>COUNTIF('Fort Serenko'!$C$5:$C$200,"Yes")</x:f>
        <x:v>2</x:v>
      </x:c>
      <x:c r="N7" s="13" t="n">
        <x:f>COUNTIF('Fort Serenko'!$A$5:$A$200,"&lt;&gt;")-M7</x:f>
        <x:v>6</x:v>
      </x:c>
      <x:c r="O7" s="14" t="str">
        <x:v>Local lumberworks article substantially expands the settlement's economic identity.</x:v>
      </x:c>
    </x:row>
    <x:row r="8">
      <x:c r="A8" s="13" t="str">
        <x:v>Fort Tuskwater</x:v>
      </x:c>
      <x:c r="B8" s="14" t="str">
        <x:v>Fortified lakeside settlement</x:v>
      </x:c>
      <x:c r="C8" s="13" t="str">
        <x:v>Yes</x:v>
      </x:c>
      <x:c r="D8" s="13" t="str">
        <x:v>Settlement</x:v>
      </x:c>
      <x:c r="E8" s="13" t="str">
        <x:v>https://www.worldanvil.com/w/inner-sea-region-bobzap66/a/fort-tuskwater-settlement</x:v>
      </x:c>
      <x:c r="F8" s="15" t="n">
        <x:v>46001.708333333336</x:v>
      </x:c>
      <x:c r="G8" s="15" t="n">
        <x:f>IF(F8="","",EDATE(F8,12))</x:f>
        <x:v>46366</x:v>
      </x:c>
      <x:c r="H8" s="13" t="str">
        <x:f>IF(F8="","Date missing",IF(G8&lt;TODAY(),"Review due",IF(G8&lt;=TODAY()+90,"Review soon","Current")))</x:f>
        <x:v>Current</x:v>
      </x:c>
      <x:c r="I8" s="13" t="str">
        <x:v>No</x:v>
      </x:c>
      <x:c r="J8" s="13" t="str"/>
      <x:c r="K8" s="13" t="str">
        <x:v>No</x:v>
      </x:c>
      <x:c r="L8" s="13" t="str"/>
      <x:c r="M8" s="13" t="n">
        <x:f>COUNTIF('Fort Tuskwater'!$C$5:$C$200,"Yes")</x:f>
        <x:v>2</x:v>
      </x:c>
      <x:c r="N8" s="13" t="n">
        <x:f>COUNTIF('Fort Tuskwater'!$A$5:$A$200,"&lt;&gt;")-M8</x:f>
        <x:v>8</x:v>
      </x:c>
      <x:c r="O8" s="14" t="str">
        <x:v>Built around the former Stag Lord's fort; local Briny Wake article expands the waterfront.</x:v>
      </x:c>
    </x:row>
    <x:row r="9">
      <x:c r="A9" s="13" t="str">
        <x:v>Greengripe</x:v>
      </x:c>
      <x:c r="B9" s="14" t="str">
        <x:v>Republic settlement</x:v>
      </x:c>
      <x:c r="C9" s="13" t="str">
        <x:v>Yes</x:v>
      </x:c>
      <x:c r="D9" s="13" t="str">
        <x:v>Settlement</x:v>
      </x:c>
      <x:c r="E9" s="13" t="str">
        <x:v>https://www.worldanvil.com/w/inner-sea-region-bobzap66/a/greengripe-settlement</x:v>
      </x:c>
      <x:c r="F9" s="15" t="n">
        <x:v>46267.666666666664</x:v>
      </x:c>
      <x:c r="G9" s="15" t="n">
        <x:f>IF(F9="","",EDATE(F9,12))</x:f>
        <x:v>46632</x:v>
      </x:c>
      <x:c r="H9" s="13" t="str">
        <x:f>IF(F9="","Date missing",IF(G9&lt;TODAY(),"Review due",IF(G9&lt;=TODAY()+90,"Review soon","Current")))</x:f>
        <x:v>Current</x:v>
      </x:c>
      <x:c r="I9" s="13" t="str">
        <x:v>Yes</x:v>
      </x:c>
      <x:c r="J9" s="13" t="str">
        <x:v>Settlements\Greengripe\Greengripe Article.txt</x:v>
      </x:c>
      <x:c r="K9" s="13" t="str">
        <x:v>No</x:v>
      </x:c>
      <x:c r="L9" s="13" t="str"/>
      <x:c r="M9" s="13" t="n">
        <x:f>COUNTIF('Greengripe'!$C$5:$C$200,"Yes")</x:f>
        <x:v>2</x:v>
      </x:c>
      <x:c r="N9" s="13" t="n">
        <x:f>COUNTIF('Greengripe'!$A$5:$A$200,"&lt;&gt;")-M9</x:f>
        <x:v>17</x:v>
      </x:c>
      <x:c r="O9" s="14" t="str">
        <x:v>Settlement article recently rewritten; Fizzlesticks &amp; Co. gives the town a signature alchemical business.</x:v>
      </x:c>
    </x:row>
    <x:row r="10">
      <x:c r="A10" s="13" t="str">
        <x:v>Longtail Island</x:v>
      </x:c>
      <x:c r="B10" s="14" t="str">
        <x:v>Iruxi-majority island settlement</x:v>
      </x:c>
      <x:c r="C10" s="13" t="str">
        <x:v>Yes</x:v>
      </x:c>
      <x:c r="D10" s="13" t="str">
        <x:v>Settlement</x:v>
      </x:c>
      <x:c r="E10" s="13" t="str">
        <x:v>https://www.worldanvil.com/w/inner-sea-region-bobzap66/a/longtail-island-settlement</x:v>
      </x:c>
      <x:c r="F10" s="15" t="n">
        <x:v>46001.708333333336</x:v>
      </x:c>
      <x:c r="G10" s="15" t="n">
        <x:f>IF(F10="","",EDATE(F10,12))</x:f>
        <x:v>46366</x:v>
      </x:c>
      <x:c r="H10" s="13" t="str">
        <x:f>IF(F10="","Date missing",IF(G10&lt;TODAY(),"Review due",IF(G10&lt;=TODAY()+90,"Review soon","Current")))</x:f>
        <x:v>Current</x:v>
      </x:c>
      <x:c r="I10" s="13" t="str">
        <x:v>No</x:v>
      </x:c>
      <x:c r="J10" s="13" t="str"/>
      <x:c r="K10" s="13" t="str">
        <x:v>No</x:v>
      </x:c>
      <x:c r="L10" s="13" t="str"/>
      <x:c r="M10" s="13" t="n">
        <x:f>COUNTIF('Longtail Island'!$C$5:$C$200,"Yes")</x:f>
        <x:v>2</x:v>
      </x:c>
      <x:c r="N10" s="13" t="n">
        <x:f>COUNTIF('Longtail Island'!$A$5:$A$200,"&lt;&gt;")-M10</x:f>
        <x:v>15</x:v>
      </x:c>
      <x:c r="O10" s="14" t="str">
        <x:v>Mayor Vesket and the Iruxi community are central to local identity.</x:v>
      </x:c>
    </x:row>
    <x:row r="11">
      <x:c r="A11" s="13" t="str">
        <x:v>Olegton</x:v>
      </x:c>
      <x:c r="B11" s="14" t="str">
        <x:v>Inland trade and agricultural town</x:v>
      </x:c>
      <x:c r="C11" s="13" t="str">
        <x:v>Yes</x:v>
      </x:c>
      <x:c r="D11" s="13" t="str">
        <x:v>Settlement</x:v>
      </x:c>
      <x:c r="E11" s="13" t="str">
        <x:v>https://www.worldanvil.com/w/inner-sea-region-bobzap66/a/olegton-settlement</x:v>
      </x:c>
      <x:c r="F11" s="15" t="n">
        <x:v>46001.708333333336</x:v>
      </x:c>
      <x:c r="G11" s="15" t="n">
        <x:f>IF(F11="","",EDATE(F11,12))</x:f>
        <x:v>46366</x:v>
      </x:c>
      <x:c r="H11" s="13" t="str">
        <x:f>IF(F11="","Date missing",IF(G11&lt;TODAY(),"Review due",IF(G11&lt;=TODAY()+90,"Review soon","Current")))</x:f>
        <x:v>Current</x:v>
      </x:c>
      <x:c r="I11" s="13" t="str">
        <x:v>No</x:v>
      </x:c>
      <x:c r="J11" s="13" t="str"/>
      <x:c r="K11" s="13" t="str">
        <x:v>No</x:v>
      </x:c>
      <x:c r="L11" s="13" t="str"/>
      <x:c r="M11" s="13" t="n">
        <x:f>COUNTIF('Olegton'!$C$5:$C$200,"Yes")</x:f>
        <x:v>2</x:v>
      </x:c>
      <x:c r="N11" s="13" t="n">
        <x:f>COUNTIF('Olegton'!$A$5:$A$200,"&lt;&gt;")-M11</x:f>
        <x:v>19</x:v>
      </x:c>
      <x:c r="O11" s="14" t="str">
        <x:v>No water access; Levet's Mill is wind-powered and serves the surrounding farms.</x:v>
      </x:c>
    </x:row>
    <x:row r="12">
      <x:c r="A12" s="13" t="str">
        <x:v>Pitax</x:v>
      </x:c>
      <x:c r="B12" s="14" t="str">
        <x:v>Annexed city under provisional civic government</x:v>
      </x:c>
      <x:c r="C12" s="13" t="str">
        <x:v>Yes</x:v>
      </x:c>
      <x:c r="D12" s="13" t="str">
        <x:v>Organization</x:v>
      </x:c>
      <x:c r="E12" s="13" t="str">
        <x:v>https://www.worldanvil.com/w/inner-sea-region-bobzap66/a/pitax-organization</x:v>
      </x:c>
      <x:c r="F12" s="15"/>
      <x:c r="G12" s="15" t="str">
        <x:f>IF(F12="","",EDATE(F12,12))</x:f>
      </x:c>
      <x:c r="H12" s="13" t="str">
        <x:f>IF(F12="","Date missing",IF(G12&lt;TODAY(),"Review due",IF(G12&lt;=TODAY()+90,"Review soon","Current")))</x:f>
        <x:v>Date missing</x:v>
      </x:c>
      <x:c r="I12" s="13" t="str">
        <x:v>Yes</x:v>
      </x:c>
      <x:c r="J12" s="13" t="str">
        <x:v>Settlements\Pitax\Pitax Article.txt</x:v>
      </x:c>
      <x:c r="K12" s="13" t="str">
        <x:v>No</x:v>
      </x:c>
      <x:c r="L12" s="13" t="str"/>
      <x:c r="M12" s="13" t="n">
        <x:f>COUNTIF('Pitax'!$C$5:$C$200,"Yes")</x:f>
        <x:v>1</x:v>
      </x:c>
      <x:c r="N12" s="13" t="n">
        <x:f>COUNTIF('Pitax'!$A$5:$A$200,"&lt;&gt;")-M12</x:f>
        <x:v>0</x:v>
      </x:c>
      <x:c r="O12" s="14" t="str">
        <x:v>Local article reflects postwar civic government; World Anvil last-updated date still needs capture.</x:v>
      </x:c>
    </x:row>
    <x:row r="13">
      <x:c r="A13" s="13" t="str">
        <x:v>Sootscale Valley</x:v>
      </x:c>
      <x:c r="B13" s="14" t="str">
        <x:v>Predominantly kobold settlement</x:v>
      </x:c>
      <x:c r="C13" s="13" t="str">
        <x:v>Yes</x:v>
      </x:c>
      <x:c r="D13" s="13" t="str">
        <x:v>Settlement</x:v>
      </x:c>
      <x:c r="E13" s="13" t="str">
        <x:v>https://www.worldanvil.com/w/inner-sea-region-bobzap66/a/sootscale-valley-settlement</x:v>
      </x:c>
      <x:c r="F13" s="15" t="n">
        <x:v>46001.708333333336</x:v>
      </x:c>
      <x:c r="G13" s="15" t="n">
        <x:f>IF(F13="","",EDATE(F13,12))</x:f>
        <x:v>46366</x:v>
      </x:c>
      <x:c r="H13" s="13" t="str">
        <x:f>IF(F13="","Date missing",IF(G13&lt;TODAY(),"Review due",IF(G13&lt;=TODAY()+90,"Review soon","Current")))</x:f>
        <x:v>Current</x:v>
      </x:c>
      <x:c r="I13" s="13" t="str">
        <x:v>No</x:v>
      </x:c>
      <x:c r="J13" s="13" t="str"/>
      <x:c r="K13" s="13" t="str">
        <x:v>No</x:v>
      </x:c>
      <x:c r="L13" s="13" t="str"/>
      <x:c r="M13" s="13" t="n">
        <x:f>COUNTIF('Sootscale Valley'!$C$5:$C$200,"Yes")</x:f>
        <x:v>2</x:v>
      </x:c>
      <x:c r="N13" s="13" t="n">
        <x:f>COUNTIF('Sootscale Valley'!$A$5:$A$200,"&lt;&gt;")-M13</x:f>
        <x:v>14</x:v>
      </x:c>
      <x:c r="O13" s="14" t="str">
        <x:v>Chief Sootscale is retired; Kereek is the current chief.</x:v>
      </x:c>
    </x:row>
    <x:row r="14">
      <x:c r="A14" s="13" t="str">
        <x:v>Tatzlford</x:v>
      </x:c>
      <x:c r="B14" s="14" t="str">
        <x:v>Forest town and craft center</x:v>
      </x:c>
      <x:c r="C14" s="13" t="str">
        <x:v>Yes</x:v>
      </x:c>
      <x:c r="D14" s="13" t="str">
        <x:v>Settlement</x:v>
      </x:c>
      <x:c r="E14" s="13" t="str">
        <x:v>https://www.worldanvil.com/w/inner-sea-region-bobzap66/a/tatzlford-settlement</x:v>
      </x:c>
      <x:c r="F14" s="15" t="n">
        <x:v>46001.708333333336</x:v>
      </x:c>
      <x:c r="G14" s="15" t="n">
        <x:f>IF(F14="","",EDATE(F14,12))</x:f>
        <x:v>46366</x:v>
      </x:c>
      <x:c r="H14" s="13" t="str">
        <x:f>IF(F14="","Date missing",IF(G14&lt;TODAY(),"Review due",IF(G14&lt;=TODAY()+90,"Review soon","Current")))</x:f>
        <x:v>Current</x:v>
      </x:c>
      <x:c r="I14" s="13" t="str">
        <x:v>No</x:v>
      </x:c>
      <x:c r="J14" s="13" t="str"/>
      <x:c r="K14" s="13" t="str">
        <x:v>No</x:v>
      </x:c>
      <x:c r="L14" s="13" t="str"/>
      <x:c r="M14" s="13" t="n">
        <x:f>COUNTIF('Tatzlford'!$C$5:$C$200,"Yes")</x:f>
        <x:v>2</x:v>
      </x:c>
      <x:c r="N14" s="13" t="n">
        <x:f>COUNTIF('Tatzlford'!$A$5:$A$200,"&lt;&gt;")-M14</x:f>
        <x:v>17</x:v>
      </x:c>
      <x:c r="O14" s="14" t="str">
        <x:v>Founded by Loy and Latricia Rezbin; the Joined Hands ties together its trades.</x:v>
      </x:c>
    </x:row>
    <x:row r="15">
      <x:c r="A15" s="13" t="str">
        <x:v>Thumpington</x:v>
      </x:c>
      <x:c r="B15" s="14" t="str">
        <x:v>Capital of the Republic of Thumping Waters</x:v>
      </x:c>
      <x:c r="C15" s="13" t="str">
        <x:v>Yes</x:v>
      </x:c>
      <x:c r="D15" s="13" t="str">
        <x:v>Settlement</x:v>
      </x:c>
      <x:c r="E15" s="13" t="str">
        <x:v>https://www.worldanvil.com/w/inner-sea-region-bobzap66/a/thumpington-settlement</x:v>
      </x:c>
      <x:c r="F15" s="15" t="n">
        <x:v>46266.666666666664</x:v>
      </x:c>
      <x:c r="G15" s="15" t="n">
        <x:f>IF(F15="","",EDATE(F15,12))</x:f>
        <x:v>46631</x:v>
      </x:c>
      <x:c r="H15" s="13" t="str">
        <x:f>IF(F15="","Date missing",IF(G15&lt;TODAY(),"Review due",IF(G15&lt;=TODAY()+90,"Review soon","Current")))</x:f>
        <x:v>Current</x:v>
      </x:c>
      <x:c r="I15" s="13" t="str">
        <x:v>Yes</x:v>
      </x:c>
      <x:c r="J15" s="13" t="str">
        <x:v>Settlements\Thumpington\Thumpington Article.txt</x:v>
      </x:c>
      <x:c r="K15" s="13" t="str">
        <x:v>No</x:v>
      </x:c>
      <x:c r="L15" s="13" t="str"/>
      <x:c r="M15" s="13" t="n">
        <x:f>COUNTIF('Thumpington'!$C$5:$C$200,"Yes")</x:f>
        <x:v>6</x:v>
      </x:c>
      <x:c r="N15" s="13" t="n">
        <x:f>COUNTIF('Thumpington'!$A$5:$A$200,"&lt;&gt;")-M15</x:f>
        <x:v>28</x:v>
      </x:c>
      <x:c r="O15" s="14" t="str">
        <x:v>Most fully developed settlement; home of the Free University, Temple of First Light, and Lantern and Ledger.</x:v>
      </x:c>
    </x:row>
    <x:row r="16">
      <x:c r="A16" s="13" t="str">
        <x:v>Tok-Nikrat</x:v>
      </x:c>
      <x:c r="B16" s="14" t="str">
        <x:v>Republic settlement with cyclopean inheritance</x:v>
      </x:c>
      <x:c r="C16" s="13" t="str">
        <x:v>Yes</x:v>
      </x:c>
      <x:c r="D16" s="13" t="str">
        <x:v>Settlement</x:v>
      </x:c>
      <x:c r="E16" s="13" t="str">
        <x:v>https://www.worldanvil.com/w/inner-sea-region-bobzap66/a/tok-nikrat-settlement</x:v>
      </x:c>
      <x:c r="F16" s="15" t="n">
        <x:v>46159.666666666664</x:v>
      </x:c>
      <x:c r="G16" s="15" t="n">
        <x:f>IF(F16="","",EDATE(F16,12))</x:f>
        <x:v>46524</x:v>
      </x:c>
      <x:c r="H16" s="13" t="str">
        <x:f>IF(F16="","Date missing",IF(G16&lt;TODAY(),"Review due",IF(G16&lt;=TODAY()+90,"Review soon","Current")))</x:f>
        <x:v>Current</x:v>
      </x:c>
      <x:c r="I16" s="13" t="str">
        <x:v>No</x:v>
      </x:c>
      <x:c r="J16" s="13" t="str"/>
      <x:c r="K16" s="13" t="str">
        <x:v>No</x:v>
      </x:c>
      <x:c r="L16" s="13" t="str"/>
      <x:c r="M16" s="13" t="n">
        <x:f>COUNTIF('Tok-Nikrat'!$C$5:$C$200,"Yes")</x:f>
        <x:v>3</x:v>
      </x:c>
      <x:c r="N16" s="13" t="n">
        <x:f>COUNTIF('Tok-Nikrat'!$A$5:$A$200,"&lt;&gt;")-M16</x:f>
        <x:v>5</x:v>
      </x:c>
      <x:c r="O16" s="14" t="str">
        <x:v>The House of Measured Paths and Whispering Step expand its civic and hospitality lore.</x:v>
      </x:c>
    </x:row>
    <x:row r="17">
      <x:c r="A17" s="13" t="str">
        <x:v>Varnhold</x:v>
      </x:c>
      <x:c r="B17" s="14" t="str">
        <x:v>Eastern town incorporated into the Republic</x:v>
      </x:c>
      <x:c r="C17" s="13" t="str">
        <x:v>Yes</x:v>
      </x:c>
      <x:c r="D17" s="13" t="str">
        <x:v>Settlement</x:v>
      </x:c>
      <x:c r="E17" s="13" t="str">
        <x:v>https://www.worldanvil.com/w/inner-sea-region-bobzap66/a/varnhold-settlement</x:v>
      </x:c>
      <x:c r="F17" s="15" t="n">
        <x:v>46001.708333333336</x:v>
      </x:c>
      <x:c r="G17" s="15" t="n">
        <x:f>IF(F17="","",EDATE(F17,12))</x:f>
        <x:v>46366</x:v>
      </x:c>
      <x:c r="H17" s="13" t="str">
        <x:f>IF(F17="","Date missing",IF(G17&lt;TODAY(),"Review due",IF(G17&lt;=TODAY()+90,"Review soon","Current")))</x:f>
        <x:v>Current</x:v>
      </x:c>
      <x:c r="I17" s="13" t="str">
        <x:v>No</x:v>
      </x:c>
      <x:c r="J17" s="13" t="str"/>
      <x:c r="K17" s="13" t="str">
        <x:v>No</x:v>
      </x:c>
      <x:c r="L17" s="13" t="str"/>
      <x:c r="M17" s="13" t="n">
        <x:f>COUNTIF('Varnhold'!$C$5:$C$200,"Yes")</x:f>
        <x:v>2</x:v>
      </x:c>
      <x:c r="N17" s="13" t="n">
        <x:f>COUNTIF('Varnhold'!$A$5:$A$200,"&lt;&gt;")-M17</x:f>
        <x:v>18</x:v>
      </x:c>
      <x:c r="O17" s="14" t="str">
        <x:v>Delver's Brewery is rooted in the Kingmaker source material and locally expanded.</x:v>
      </x:c>
    </x:row>
    <x:row r="18">
      <x:c r="A18" s="13" t="str">
        <x:v>Willowfen</x:v>
      </x:c>
      <x:c r="B18" s="14" t="str">
        <x:v>Wetland settlement</x:v>
      </x:c>
      <x:c r="C18" s="13" t="str">
        <x:v>Yes</x:v>
      </x:c>
      <x:c r="D18" s="13" t="str">
        <x:v>Settlement</x:v>
      </x:c>
      <x:c r="E18" s="13" t="str">
        <x:v>https://www.worldanvil.com/w/inner-sea-region-bobzap66/a/willowfen-settlement</x:v>
      </x:c>
      <x:c r="F18" s="15" t="n">
        <x:v>46001.708333333336</x:v>
      </x:c>
      <x:c r="G18" s="15" t="n">
        <x:f>IF(F18="","",EDATE(F18,12))</x:f>
        <x:v>46366</x:v>
      </x:c>
      <x:c r="H18" s="13" t="str">
        <x:f>IF(F18="","Date missing",IF(G18&lt;TODAY(),"Review due",IF(G18&lt;=TODAY()+90,"Review soon","Current")))</x:f>
        <x:v>Current</x:v>
      </x:c>
      <x:c r="I18" s="13" t="str">
        <x:v>No</x:v>
      </x:c>
      <x:c r="J18" s="13" t="str"/>
      <x:c r="K18" s="13" t="str">
        <x:v>No</x:v>
      </x:c>
      <x:c r="L18" s="13" t="str"/>
      <x:c r="M18" s="13" t="n">
        <x:f>COUNTIF('Willowfen'!$C$5:$C$200,"Yes")</x:f>
        <x:v>3</x:v>
      </x:c>
      <x:c r="N18" s="13" t="n">
        <x:f>COUNTIF('Willowfen'!$A$5:$A$200,"&lt;&gt;")-M18</x:f>
        <x:v>5</x:v>
      </x:c>
      <x:c r="O18" s="14" t="str">
        <x:v>The Silver Reed and Willowfen General develop player-introduced ideas without making one adventurer the settlement's focus.</x:v>
      </x:c>
    </x:row>
  </x:sheetData>
  <x:mergeCells>
    <x:mergeCell ref="A1:O1"/>
    <x:mergeCell ref="A2:O2"/>
  </x:mergeCells>
  <x:conditionalFormatting sqref="H5:H18">
    <x:cfRule type="containsText" dxfId="0" priority="1" operator="containsText" text="Review due"/>
    <x:cfRule type="containsText" dxfId="1" priority="2" operator="containsText" text="Review soon"/>
    <x:cfRule type="containsText" dxfId="2" priority="3" operator="containsText" text="Date missing"/>
  </x:conditionalFormatting>
  <x:conditionalFormatting sqref="I5:I18">
    <x:cfRule type="containsText" dxfId="3" priority="4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bff9f43a3474c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EMBETH HALL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Republic settlement; travelers' hub.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Embeth Hall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https://www.worldanvil.com/w/inner-sea-region-bobzap66/a/embeth-hall-settlement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Settlement article exists on World Anvil; local work currently focuses on the White Lantern.</x:v>
      </x:c>
    </x:row>
    <x:row r="6">
      <x:c r="A6" s="13" t="str">
        <x:v>White Lantern</x:v>
      </x:c>
      <x:c r="B6" s="13" t="str">
        <x:v>Inn and public house</x:v>
      </x:c>
      <x:c r="C6" s="13" t="str">
        <x:v>Yes</x:v>
      </x:c>
      <x:c r="D6" s="13" t="str">
        <x:v>Yes</x:v>
      </x:c>
      <x:c r="E6" s="16" t="str">
        <x:v>https://www.worldanvil.com/w/inner-sea-region-bobzap66/a/white-lantern-landmark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Settlements\Embeth Hall\The White Lantern Article.txt</x:v>
      </x:c>
      <x:c r="K6" s="14" t="str">
        <x:v>Yes</x:v>
      </x:c>
      <x:c r="L6" s="14" t="str">
        <x:v>Settlements\Embeth Hall\The White Lantern.png</x:v>
      </x:c>
      <x:c r="M6" s="14" t="str">
        <x:v>Marna Drell; Jamel Visser</x:v>
      </x:c>
      <x:c r="N6" s="14" t="str">
        <x:v>Local article; Kingmaker Kingdom Sheet — Urban Grids (Tavern, Popular)</x:v>
      </x:c>
      <x:c r="O6" s="14" t="str">
        <x:v>A travelers' house shaped by Embeth Hall's cosmopolitan traffic. World Anvil template: Building / Landmark. Local filename/title variant: The White Lantern. Mechanically confirmed on the supplied urban grid as Tavern, Popular.</x:v>
      </x:c>
    </x:row>
    <x:row r="7">
      <x:c r="A7" s="13" t="str">
        <x:v>Mill</x:v>
      </x:c>
      <x:c r="B7" s="13" t="str">
        <x:v>Mill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Sheet — Urban Grids; Kingmaker Kingdom Turns — 4711</x:v>
      </x:c>
      <x:c r="O7" s="14" t="str">
        <x:v>Established infrastructure; no dedicated local or World Anvil article identified.</x:v>
      </x:c>
    </x:row>
    <x:row r="8">
      <x:c r="A8" s="13" t="str">
        <x:v>Town hall</x:v>
      </x:c>
      <x:c r="B8" s="13" t="str">
        <x:v>Civic building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Sheet — Urban Grids; Kingmaker Kingdom Turns — 4711</x:v>
      </x:c>
      <x:c r="O8" s="14" t="str">
        <x:v>Established infrastructure; no dedicated local or World Anvil article identified.</x:v>
      </x:c>
    </x:row>
    <x:row r="9">
      <x:c r="A9" s="13" t="str">
        <x:v>Marketplace</x:v>
      </x:c>
      <x:c r="B9" s="13" t="str">
        <x:v>Market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4712</x:v>
      </x:c>
      <x:c r="O9" s="14" t="str">
        <x:v>Established infrastructure; no dedicated local or World Anvil article identified.</x:v>
      </x:c>
    </x:row>
    <x:row r="10">
      <x:c r="A10" s="13" t="str">
        <x:v>Wooden walls</x:v>
      </x:c>
      <x:c r="B10" s="13" t="str">
        <x:v>Fortification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4712</x:v>
      </x:c>
      <x:c r="O10" s="14" t="str">
        <x:v>Established infrastructure; no dedicated local or World Anvil article identified.</x:v>
      </x:c>
    </x:row>
    <x:row r="11">
      <x:c r="A11" s="13" t="str">
        <x:v>Watchtower</x:v>
      </x:c>
      <x:c r="B11" s="13" t="str">
        <x:v>Fortification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4712</x:v>
      </x:c>
      <x:c r="O11" s="14" t="str">
        <x:v>Established infrastructure; no dedicated local or World Anvil article identified.</x:v>
      </x:c>
    </x:row>
    <x:row r="12">
      <x:c r="A12" s="13" t="str">
        <x:v>Monument</x:v>
      </x:c>
      <x:c r="B12" s="13" t="str">
        <x:v>Monument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4712</x:v>
      </x:c>
      <x:c r="O12" s="14" t="str">
        <x:v>Established infrastructure; no dedicated local or World Anvil article identified.</x:v>
      </x:c>
    </x:row>
    <x:row r="13">
      <x:c r="A13" s="13" t="str">
        <x:v>Pier</x:v>
      </x:c>
      <x:c r="B13" s="13" t="str">
        <x:v>Waterfront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4713</x:v>
      </x:c>
      <x:c r="O13" s="14" t="str">
        <x:v>Established infrastructure; no dedicated local or World Anvil article identified.</x:v>
      </x:c>
    </x:row>
    <x:row r="14">
      <x:c r="A14" s="13" t="str">
        <x:v>Guildhall</x:v>
      </x:c>
      <x:c r="B14" s="13" t="str">
        <x:v>Guildhall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Turns — 4713</x:v>
      </x:c>
      <x:c r="O14" s="14" t="str">
        <x:v>Established infrastructure; no dedicated local or World Anvil article identified.</x:v>
      </x:c>
    </x:row>
    <x:row r="15">
      <x:c r="A15" s="13" t="str">
        <x:v>Brewery</x:v>
      </x:c>
      <x:c r="B15" s="13" t="str">
        <x:v>Brewery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Turns — 4713</x:v>
      </x:c>
      <x:c r="O15" s="14" t="str">
        <x:v>Established infrastructure; no dedicated local or World Anvil article identified.</x:v>
      </x:c>
    </x:row>
    <x:row r="16">
      <x:c r="A16" s="13" t="str">
        <x:v>Sacred grove</x:v>
      </x:c>
      <x:c r="B16" s="13" t="str">
        <x:v>Religious site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Turns — 4713</x:v>
      </x:c>
      <x:c r="O16" s="14" t="str">
        <x:v>Established infrastructure; no dedicated local or World Anvil article identified.</x:v>
      </x:c>
    </x:row>
    <x:row r="17">
      <x:c r="A17" s="13" t="str">
        <x:v>Houses</x:v>
      </x:c>
      <x:c r="B17" s="13" t="str">
        <x:v>Residence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Sheet — Urban Grids snapshot</x:v>
      </x:c>
      <x:c r="O17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17">
    <x:cfRule type="containsText" dxfId="4" priority="1" operator="containsText" text="Review due"/>
    <x:cfRule type="containsText" dxfId="5" priority="2" operator="containsText" text="Review soon"/>
    <x:cfRule type="containsText" dxfId="6" priority="3" operator="containsText" text="Date missing"/>
  </x:conditionalFormatting>
  <x:conditionalFormatting sqref="D5:D17">
    <x:cfRule type="containsText" dxfId="7" priority="4" operator="containsText" text="No"/>
  </x:conditionalFormatting>
  <x:conditionalFormatting sqref="K5:K17">
    <x:cfRule type="containsText" dxfId="8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c428ebd256ab42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FORT DRELEV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Liberated former barony; political transition.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Fort Drelev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https://www.worldanvil.com/w/inner-sea-region-bobzap66/a/fort-drelev-organization</x:v>
      </x:c>
      <x:c r="F5" s="15" t="n">
        <x:v>45982.708333333336</x:v>
      </x:c>
      <x:c r="G5" s="15" t="n">
        <x:f>IF(F5="","",EDATE(F5,12))</x:f>
        <x:v>46347</x:v>
      </x:c>
      <x:c r="H5" s="13" t="str">
        <x:f>IF(D5&lt;&gt;"Yes","N/A",IF(F5="","Date missing",IF(G5&lt;TODAY(),"Review due",IF(G5&lt;=TODAY()+90,"Review soon","Current"))))</x:f>
        <x:v>Review soon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Continuity priority: existing World Anvil article predates Drelev's fall and liberation.</x:v>
      </x:c>
    </x:row>
    <x:row r="6">
      <x:c r="A6" s="13" t="str">
        <x:v>Marketplace</x:v>
      </x:c>
      <x:c r="B6" s="13" t="str">
        <x:v>Market</x:v>
      </x:c>
      <x:c r="C6" s="13" t="str">
        <x:v>No</x:v>
      </x:c>
      <x:c r="D6" s="13" t="str">
        <x:v>No</x:v>
      </x:c>
      <x:c r="E6" s="16" t="str"/>
      <x:c r="F6" s="15"/>
      <x:c r="G6" s="15" t="str">
        <x:f>IF(F6="","",EDATE(F6,12))</x:f>
      </x:c>
      <x:c r="H6" s="13" t="str">
        <x:f>IF(D6&lt;&gt;"Yes","N/A",IF(F6="","Date missing",IF(G6&lt;TODAY(),"Review due",IF(G6&lt;=TODAY()+90,"Review soon","Current"))))</x:f>
        <x:v>N/A</x:v>
      </x:c>
      <x:c r="I6" s="13" t="str">
        <x:v>No</x:v>
      </x:c>
      <x:c r="J6" s="14" t="str"/>
      <x:c r="K6" s="14" t="str">
        <x:v>No</x:v>
      </x:c>
      <x:c r="L6" s="14" t="str"/>
      <x:c r="M6" s="14" t="str"/>
      <x:c r="N6" s="14" t="str">
        <x:v>Kingmaker Kingdom Turns — 4714</x:v>
      </x:c>
      <x:c r="O6" s="14" t="str">
        <x:v>Established infrastructure; no dedicated local or World Anvil article identified.</x:v>
      </x:c>
    </x:row>
    <x:row r="7">
      <x:c r="A7" s="13" t="str">
        <x:v>Stone walls</x:v>
      </x:c>
      <x:c r="B7" s="13" t="str">
        <x:v>Fortification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Turns — 4714</x:v>
      </x:c>
      <x:c r="O7" s="14" t="str">
        <x:v>Established infrastructure; no dedicated local or World Anvil article identified.</x:v>
      </x:c>
    </x:row>
    <x:row r="8">
      <x:c r="A8" s="13" t="str">
        <x:v>Shrine</x:v>
      </x:c>
      <x:c r="B8" s="13" t="str">
        <x:v>Religious site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Turns — 4714</x:v>
      </x:c>
      <x:c r="O8" s="14" t="str">
        <x:v>Established infrastructure; no dedicated local or World Anvil article identified.</x:v>
      </x:c>
    </x:row>
    <x:row r="9">
      <x:c r="A9" s="13" t="str">
        <x:v>Sewers</x:v>
      </x:c>
      <x:c r="B9" s="13" t="str">
        <x:v>Infrastructure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4714</x:v>
      </x:c>
      <x:c r="O9" s="14" t="str">
        <x:v>Established infrastructure; no dedicated local or World Anvil article identified.</x:v>
      </x:c>
    </x:row>
    <x:row r="10">
      <x:c r="A10" s="13" t="str">
        <x:v>Mill</x:v>
      </x:c>
      <x:c r="B10" s="13" t="str">
        <x:v>Mill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4714</x:v>
      </x:c>
      <x:c r="O10" s="14" t="str">
        <x:v>Established infrastructure; no dedicated local or World Anvil article identified.</x:v>
      </x:c>
    </x:row>
  </x:sheetData>
  <x:mergeCells>
    <x:mergeCell ref="A1:O1"/>
    <x:mergeCell ref="A2:O2"/>
  </x:mergeCells>
  <x:conditionalFormatting sqref="H5:H10">
    <x:cfRule type="containsText" dxfId="9" priority="1" operator="containsText" text="Review due"/>
    <x:cfRule type="containsText" dxfId="10" priority="2" operator="containsText" text="Review soon"/>
    <x:cfRule type="containsText" dxfId="11" priority="3" operator="containsText" text="Date missing"/>
  </x:conditionalFormatting>
  <x:conditionalFormatting sqref="D5:D10">
    <x:cfRule type="containsText" dxfId="12" priority="4" operator="containsText" text="No"/>
  </x:conditionalFormatting>
  <x:conditionalFormatting sqref="K5:K10">
    <x:cfRule type="containsText" dxfId="13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f8836cfd756945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FORT SERENKO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Frontier fort and lumber town.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Fort Serenko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https://www.worldanvil.com/w/inner-sea-region-bobzap66/a/fort-serenko-settlement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Local lumberworks article substantially expands the settlement's economic identity.</x:v>
      </x:c>
    </x:row>
    <x:row r="6">
      <x:c r="A6" s="13" t="str">
        <x:v>Fort Serenko Lumberworks</x:v>
      </x:c>
      <x:c r="B6" s="13" t="str">
        <x:v>Lumberworks</x:v>
      </x:c>
      <x:c r="C6" s="13" t="str">
        <x:v>Yes</x:v>
      </x:c>
      <x:c r="D6" s="13" t="str">
        <x:v>Yes</x:v>
      </x:c>
      <x:c r="E6" s="16" t="str">
        <x:v>https://www.worldanvil.com/w/inner-sea-region-bobzap66/a/fort-serenko-lumberworks-landmark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Settlements\Fort Serenko\Fort Serenko Lumberworks Article.txt</x:v>
      </x:c>
      <x:c r="K6" s="14" t="str">
        <x:v>Yes</x:v>
      </x:c>
      <x:c r="L6" s="14" t="str">
        <x:v>Settlements\Fort Serenko\Fort Serenko Lumberworks.png</x:v>
      </x:c>
      <x:c r="M6" s="14" t="str">
        <x:v>Harl Edvane; Mira Volen; Daska Broadbough; Perren Bale</x:v>
      </x:c>
      <x:c r="N6" s="14" t="str">
        <x:v>Local article</x:v>
      </x:c>
      <x:c r="O6" s="14" t="str">
        <x:v>Major employer and organizing institution of the timber economy. World Anvil template: Building / Landmark.</x:v>
      </x:c>
    </x:row>
    <x:row r="7">
      <x:c r="A7" s="13" t="str">
        <x:v>Walls</x:v>
      </x:c>
      <x:c r="B7" s="13" t="str">
        <x:v>Fortification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Turns — 4712</x:v>
      </x:c>
      <x:c r="O7" s="14" t="str">
        <x:v>Established infrastructure; no dedicated local or World Anvil article identified.</x:v>
      </x:c>
    </x:row>
    <x:row r="8">
      <x:c r="A8" s="13" t="str">
        <x:v>Inn</x:v>
      </x:c>
      <x:c r="B8" s="13" t="str">
        <x:v>Inn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Turns — 4712</x:v>
      </x:c>
      <x:c r="O8" s="14" t="str">
        <x:v>Established infrastructure; no dedicated local or World Anvil article identified.</x:v>
      </x:c>
    </x:row>
    <x:row r="9">
      <x:c r="A9" s="13" t="str">
        <x:v>Stock yard</x:v>
      </x:c>
      <x:c r="B9" s="13" t="str">
        <x:v>Trade yard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4712</x:v>
      </x:c>
      <x:c r="O9" s="14" t="str">
        <x:v>Established infrastructure; no dedicated local or World Anvil article identified.</x:v>
      </x:c>
    </x:row>
    <x:row r="10">
      <x:c r="A10" s="13" t="str">
        <x:v>Town hall</x:v>
      </x:c>
      <x:c r="B10" s="13" t="str">
        <x:v>Civic building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4714</x:v>
      </x:c>
      <x:c r="O10" s="14" t="str">
        <x:v>Established infrastructure; no dedicated local or World Anvil article identified.</x:v>
      </x:c>
    </x:row>
    <x:row r="11">
      <x:c r="A11" s="13" t="str">
        <x:v>Sewers</x:v>
      </x:c>
      <x:c r="B11" s="13" t="str">
        <x:v>Infrastructure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4714</x:v>
      </x:c>
      <x:c r="O11" s="14" t="str">
        <x:v>Established infrastructure; no dedicated local or World Anvil article identified.</x:v>
      </x:c>
    </x:row>
    <x:row r="12">
      <x:c r="A12" s="13" t="str">
        <x:v>Shrine</x:v>
      </x:c>
      <x:c r="B12" s="13" t="str">
        <x:v>Religious site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4714</x:v>
      </x:c>
      <x:c r="O12" s="14" t="str">
        <x:v>Established infrastructure; no dedicated local or World Anvil article identified.</x:v>
      </x:c>
    </x:row>
  </x:sheetData>
  <x:mergeCells>
    <x:mergeCell ref="A1:O1"/>
    <x:mergeCell ref="A2:O2"/>
  </x:mergeCells>
  <x:conditionalFormatting sqref="H5:H12">
    <x:cfRule type="containsText" dxfId="14" priority="1" operator="containsText" text="Review due"/>
    <x:cfRule type="containsText" dxfId="15" priority="2" operator="containsText" text="Review soon"/>
    <x:cfRule type="containsText" dxfId="16" priority="3" operator="containsText" text="Date missing"/>
  </x:conditionalFormatting>
  <x:conditionalFormatting sqref="D5:D12">
    <x:cfRule type="containsText" dxfId="17" priority="4" operator="containsText" text="No"/>
  </x:conditionalFormatting>
  <x:conditionalFormatting sqref="K5:K12">
    <x:cfRule type="containsText" dxfId="18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dc8aa7c41fad43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FORT TUSKWATER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Fortified lakeside settlement.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Fort Tuskwater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https://www.worldanvil.com/w/inner-sea-region-bobzap66/a/fort-tuskwater-settlement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Built around the former Stag Lord's fort; local Briny Wake article expands the waterfront.</x:v>
      </x:c>
    </x:row>
    <x:row r="6">
      <x:c r="A6" s="13" t="str">
        <x:v>Briny Wake</x:v>
      </x:c>
      <x:c r="B6" s="13" t="str">
        <x:v>Inn and tavern</x:v>
      </x:c>
      <x:c r="C6" s="13" t="str">
        <x:v>Yes</x:v>
      </x:c>
      <x:c r="D6" s="13" t="str">
        <x:v>Yes</x:v>
      </x:c>
      <x:c r="E6" s="16" t="str">
        <x:v>https://www.worldanvil.com/w/inner-sea-region-bobzap66/a/briny-wake-landmark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Settlements\Fort Tuskwater\The Briny Wake Article.txt</x:v>
      </x:c>
      <x:c r="K6" s="14" t="str">
        <x:v>Yes</x:v>
      </x:c>
      <x:c r="L6" s="14" t="str">
        <x:v>Settlements\Fort Tuskwater\The Briny Wake.png</x:v>
      </x:c>
      <x:c r="M6" s="14" t="str">
        <x:v>Marrek Holt</x:v>
      </x:c>
      <x:c r="N6" s="14" t="str">
        <x:v>Local article</x:v>
      </x:c>
      <x:c r="O6" s="14" t="str">
        <x:v>Waterfront gathering place connected to Fort Tuskwater's river and lake traffic. World Anvil template: Building / Landmark. Local filename/title variant: The Briny Wake.</x:v>
      </x:c>
    </x:row>
    <x:row r="7">
      <x:c r="A7" s="13" t="str">
        <x:v>Waterfront</x:v>
      </x:c>
      <x:c r="B7" s="13" t="str">
        <x:v>Waterfront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Turns — 4712</x:v>
      </x:c>
      <x:c r="O7" s="14" t="str">
        <x:v>Established infrastructure; no dedicated local or World Anvil article identified.</x:v>
      </x:c>
    </x:row>
    <x:row r="8">
      <x:c r="A8" s="13" t="str">
        <x:v>Pier</x:v>
      </x:c>
      <x:c r="B8" s="13" t="str">
        <x:v>Waterfront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Turns — 4712</x:v>
      </x:c>
      <x:c r="O8" s="14" t="str">
        <x:v>Established infrastructure; no dedicated local or World Anvil article identified.</x:v>
      </x:c>
    </x:row>
    <x:row r="9">
      <x:c r="A9" s="13" t="str">
        <x:v>Walls</x:v>
      </x:c>
      <x:c r="B9" s="13" t="str">
        <x:v>Fortification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4712; 4714</x:v>
      </x:c>
      <x:c r="O9" s="14" t="str">
        <x:v>Established infrastructure; no dedicated local or World Anvil article identified.</x:v>
      </x:c>
    </x:row>
    <x:row r="10">
      <x:c r="A10" s="13" t="str">
        <x:v>Watchtower</x:v>
      </x:c>
      <x:c r="B10" s="13" t="str">
        <x:v>Fortification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4713</x:v>
      </x:c>
      <x:c r="O10" s="14" t="str">
        <x:v>Established infrastructure; no dedicated local or World Anvil article identified.</x:v>
      </x:c>
    </x:row>
    <x:row r="11">
      <x:c r="A11" s="13" t="str">
        <x:v>Sewers</x:v>
      </x:c>
      <x:c r="B11" s="13" t="str">
        <x:v>Infrastructure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4713</x:v>
      </x:c>
      <x:c r="O11" s="14" t="str">
        <x:v>Established infrastructure; no dedicated local or World Anvil article identified.</x:v>
      </x:c>
    </x:row>
    <x:row r="12">
      <x:c r="A12" s="13" t="str">
        <x:v>Marketplace</x:v>
      </x:c>
      <x:c r="B12" s="13" t="str">
        <x:v>Market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4713</x:v>
      </x:c>
      <x:c r="O12" s="14" t="str">
        <x:v>Established infrastructure; no dedicated local or World Anvil article identified.</x:v>
      </x:c>
    </x:row>
    <x:row r="13">
      <x:c r="A13" s="13" t="str">
        <x:v>Museum</x:v>
      </x:c>
      <x:c r="B13" s="13" t="str">
        <x:v>Museum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4713</x:v>
      </x:c>
      <x:c r="O13" s="14" t="str">
        <x:v>Established infrastructure; no dedicated local or World Anvil article identified.</x:v>
      </x:c>
    </x:row>
    <x:row r="14">
      <x:c r="A14" s="13" t="str">
        <x:v>Town Hall</x:v>
      </x:c>
      <x:c r="B14" s="13" t="str">
        <x:v>Civic building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Sheet — Urban Grids snapshot</x:v>
      </x:c>
      <x:c r="O14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14">
    <x:cfRule type="containsText" dxfId="19" priority="1" operator="containsText" text="Review due"/>
    <x:cfRule type="containsText" dxfId="20" priority="2" operator="containsText" text="Review soon"/>
    <x:cfRule type="containsText" dxfId="21" priority="3" operator="containsText" text="Date missing"/>
  </x:conditionalFormatting>
  <x:conditionalFormatting sqref="D5:D14">
    <x:cfRule type="containsText" dxfId="22" priority="4" operator="containsText" text="No"/>
  </x:conditionalFormatting>
  <x:conditionalFormatting sqref="K5:K14">
    <x:cfRule type="containsText" dxfId="23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792874ac413d4e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GREENGRIPE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Republic settlement.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Greengripe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https://www.worldanvil.com/w/inner-sea-region-bobzap66/a/greengripe-settlement</x:v>
      </x:c>
      <x:c r="F5" s="15" t="n">
        <x:v>46267.666666666664</x:v>
      </x:c>
      <x:c r="G5" s="15" t="n">
        <x:f>IF(F5="","",EDATE(F5,12))</x:f>
        <x:v>46632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Yes</x:v>
      </x:c>
      <x:c r="J5" s="14" t="str">
        <x:v>Settlements\Greengripe\Greengripe Article.txt</x:v>
      </x:c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Settlement article recently rewritten; Fizzlesticks &amp; Co. gives the town a signature alchemical business.</x:v>
      </x:c>
    </x:row>
    <x:row r="6">
      <x:c r="A6" s="13" t="str">
        <x:v>Fizzlesticks &amp; Co</x:v>
      </x:c>
      <x:c r="B6" s="13" t="str">
        <x:v>Alchemist shop</x:v>
      </x:c>
      <x:c r="C6" s="13" t="str">
        <x:v>Yes</x:v>
      </x:c>
      <x:c r="D6" s="13" t="str">
        <x:v>Yes</x:v>
      </x:c>
      <x:c r="E6" s="16" t="str">
        <x:v>https://www.worldanvil.com/w/inner-sea-region-bobzap66/a/fizzlesticks-26-co-landmark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Settlements\Greengripe\Fizzlesticks &amp; Co. Article.txt</x:v>
      </x:c>
      <x:c r="K6" s="14" t="str">
        <x:v>Yes</x:v>
      </x:c>
      <x:c r="L6" s="14" t="str">
        <x:v>Settlements\Greengripe\Fizzlesticks &amp; Co.png</x:v>
      </x:c>
      <x:c r="M6" s="14" t="str">
        <x:v>Griggit Fizzlesticks; Keeka Bottlesnap; Orrik Fume-Eater; Vara Moss</x:v>
      </x:c>
      <x:c r="N6" s="14" t="str">
        <x:v>Local article; Kingmaker Kingdom Sheet — Urban Grids (Alchemy Laboratory)</x:v>
      </x:c>
      <x:c r="O6" s="14" t="str">
        <x:v>Signature alchemical shop; develops the alchemy lab recorded in the kingdom turns. World Anvil template: Building / Landmark. Local filename/title variant: Fizzlesticks &amp; Co.. Mechanically confirmed on the supplied urban grid as Alchemy Laboratory.</x:v>
      </x:c>
    </x:row>
    <x:row r="7">
      <x:c r="A7" s="13" t="str">
        <x:v>Town hall</x:v>
      </x:c>
      <x:c r="B7" s="13" t="str">
        <x:v>Civic building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Sheet — Urban Grids; Kingmaker Kingdom Turns — 4711; 4713</x:v>
      </x:c>
      <x:c r="O7" s="14" t="str">
        <x:v>Established infrastructure; no dedicated local or World Anvil article identified.</x:v>
      </x:c>
    </x:row>
    <x:row r="8">
      <x:c r="A8" s="13" t="str">
        <x:v>Barracks</x:v>
      </x:c>
      <x:c r="B8" s="13" t="str">
        <x:v>Military building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Sheet — Urban Grids; Kingmaker Kingdom Turns — 4711</x:v>
      </x:c>
      <x:c r="O8" s="14" t="str">
        <x:v>Established infrastructure; no dedicated local or World Anvil article identified.</x:v>
      </x:c>
    </x:row>
    <x:row r="9">
      <x:c r="A9" s="13" t="str">
        <x:v>Smithy</x:v>
      </x:c>
      <x:c r="B9" s="13" t="str">
        <x:v>Smithy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4712</x:v>
      </x:c>
      <x:c r="O9" s="14" t="str">
        <x:v>Established infrastructure; no dedicated local or World Anvil article identified.</x:v>
      </x:c>
    </x:row>
    <x:row r="10">
      <x:c r="A10" s="13" t="str">
        <x:v>Park</x:v>
      </x:c>
      <x:c r="B10" s="13" t="str">
        <x:v>Park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4712</x:v>
      </x:c>
      <x:c r="O10" s="14" t="str">
        <x:v>Established infrastructure; no dedicated local or World Anvil article identified.</x:v>
      </x:c>
    </x:row>
    <x:row r="11">
      <x:c r="A11" s="13" t="str">
        <x:v>Inn</x:v>
      </x:c>
      <x:c r="B11" s="13" t="str">
        <x:v>Inn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4712</x:v>
      </x:c>
      <x:c r="O11" s="14" t="str">
        <x:v>Established infrastructure; no dedicated local or World Anvil article identified.</x:v>
      </x:c>
    </x:row>
    <x:row r="12">
      <x:c r="A12" s="13" t="str">
        <x:v>Stone walls</x:v>
      </x:c>
      <x:c r="B12" s="13" t="str">
        <x:v>Fortification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4713; 4714</x:v>
      </x:c>
      <x:c r="O12" s="14" t="str">
        <x:v>Established infrastructure; no dedicated local or World Anvil article identified.</x:v>
      </x:c>
    </x:row>
    <x:row r="13">
      <x:c r="A13" s="13" t="str">
        <x:v>Magic shop</x:v>
      </x:c>
      <x:c r="B13" s="13" t="str">
        <x:v>Shop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4713</x:v>
      </x:c>
      <x:c r="O13" s="14" t="str">
        <x:v>Established infrastructure; no dedicated local or World Anvil article identified.</x:v>
      </x:c>
    </x:row>
    <x:row r="14">
      <x:c r="A14" s="13" t="str">
        <x:v>Sewers</x:v>
      </x:c>
      <x:c r="B14" s="13" t="str">
        <x:v>Infrastructure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Turns — 4713</x:v>
      </x:c>
      <x:c r="O14" s="14" t="str">
        <x:v>Established infrastructure; no dedicated local or World Anvil article identified.</x:v>
      </x:c>
    </x:row>
    <x:row r="15">
      <x:c r="A15" s="13" t="str">
        <x:v>Herbalist</x:v>
      </x:c>
      <x:c r="B15" s="13" t="str">
        <x:v>Shop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Turns — 4713</x:v>
      </x:c>
      <x:c r="O15" s="14" t="str">
        <x:v>Established infrastructure; no dedicated local or World Anvil article identified.</x:v>
      </x:c>
    </x:row>
    <x:row r="16">
      <x:c r="A16" s="13" t="str">
        <x:v>Lumberyard</x:v>
      </x:c>
      <x:c r="B16" s="13" t="str">
        <x:v>Trade yard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Turns — 4713</x:v>
      </x:c>
      <x:c r="O16" s="14" t="str">
        <x:v>Established infrastructure; no dedicated local or World Anvil article identified.</x:v>
      </x:c>
    </x:row>
    <x:row r="17">
      <x:c r="A17" s="13" t="str">
        <x:v>Brewery</x:v>
      </x:c>
      <x:c r="B17" s="13" t="str">
        <x:v>Brewery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Turns — 4713</x:v>
      </x:c>
      <x:c r="O17" s="14" t="str">
        <x:v>Established infrastructure; no dedicated local or World Anvil article identified.</x:v>
      </x:c>
    </x:row>
    <x:row r="18">
      <x:c r="A18" s="13" t="str">
        <x:v>Marketplace</x:v>
      </x:c>
      <x:c r="B18" s="13" t="str">
        <x:v>Market</x:v>
      </x:c>
      <x:c r="C18" s="13" t="str">
        <x:v>No</x:v>
      </x:c>
      <x:c r="D18" s="13" t="str">
        <x:v>No</x:v>
      </x:c>
      <x:c r="E18" s="16" t="str"/>
      <x:c r="F18" s="15"/>
      <x:c r="G18" s="15" t="str">
        <x:f>IF(F18="","",EDATE(F18,12))</x:f>
      </x:c>
      <x:c r="H18" s="13" t="str">
        <x:f>IF(D18&lt;&gt;"Yes","N/A",IF(F18="","Date missing",IF(G18&lt;TODAY(),"Review due",IF(G18&lt;=TODAY()+90,"Review soon","Current"))))</x:f>
        <x:v>N/A</x:v>
      </x:c>
      <x:c r="I18" s="13" t="str">
        <x:v>No</x:v>
      </x:c>
      <x:c r="J18" s="14" t="str"/>
      <x:c r="K18" s="14" t="str">
        <x:v>No</x:v>
      </x:c>
      <x:c r="L18" s="14" t="str"/>
      <x:c r="M18" s="14" t="str"/>
      <x:c r="N18" s="14" t="str">
        <x:v>Kingmaker Kingdom Turns — 4714</x:v>
      </x:c>
      <x:c r="O18" s="14" t="str">
        <x:v>Established infrastructure; no dedicated local or World Anvil article identified.</x:v>
      </x:c>
    </x:row>
    <x:row r="19">
      <x:c r="A19" s="13" t="str">
        <x:v>Shrine</x:v>
      </x:c>
      <x:c r="B19" s="13" t="str">
        <x:v>Religious site</x:v>
      </x:c>
      <x:c r="C19" s="13" t="str">
        <x:v>No</x:v>
      </x:c>
      <x:c r="D19" s="13" t="str">
        <x:v>No</x:v>
      </x:c>
      <x:c r="E19" s="16" t="str"/>
      <x:c r="F19" s="15"/>
      <x:c r="G19" s="15" t="str">
        <x:f>IF(F19="","",EDATE(F19,12))</x:f>
      </x:c>
      <x:c r="H19" s="13" t="str">
        <x:f>IF(D19&lt;&gt;"Yes","N/A",IF(F19="","Date missing",IF(G19&lt;TODAY(),"Review due",IF(G19&lt;=TODAY()+90,"Review soon","Current"))))</x:f>
        <x:v>N/A</x:v>
      </x:c>
      <x:c r="I19" s="13" t="str">
        <x:v>No</x:v>
      </x:c>
      <x:c r="J19" s="14" t="str"/>
      <x:c r="K19" s="14" t="str">
        <x:v>No</x:v>
      </x:c>
      <x:c r="L19" s="14" t="str"/>
      <x:c r="M19" s="14" t="str"/>
      <x:c r="N19" s="14" t="str">
        <x:v>Kingmaker Kingdom Sheet — Urban Grids; Kingmaker Kingdom Turns — 4714</x:v>
      </x:c>
      <x:c r="O19" s="14" t="str">
        <x:v>Established infrastructure; no dedicated local or World Anvil article identified.</x:v>
      </x:c>
    </x:row>
    <x:row r="20">
      <x:c r="A20" s="13" t="str">
        <x:v>Orphanage</x:v>
      </x:c>
      <x:c r="B20" s="13" t="str">
        <x:v>Orphanage</x:v>
      </x:c>
      <x:c r="C20" s="13" t="str">
        <x:v>No</x:v>
      </x:c>
      <x:c r="D20" s="13" t="str">
        <x:v>No</x:v>
      </x:c>
      <x:c r="E20" s="16" t="str"/>
      <x:c r="F20" s="15"/>
      <x:c r="G20" s="15" t="str">
        <x:f>IF(F20="","",EDATE(F20,12))</x:f>
      </x:c>
      <x:c r="H20" s="13" t="str">
        <x:f>IF(D20&lt;&gt;"Yes","N/A",IF(F20="","Date missing",IF(G20&lt;TODAY(),"Review due",IF(G20&lt;=TODAY()+90,"Review soon","Current"))))</x:f>
        <x:v>N/A</x:v>
      </x:c>
      <x:c r="I20" s="13" t="str">
        <x:v>No</x:v>
      </x:c>
      <x:c r="J20" s="14" t="str"/>
      <x:c r="K20" s="14" t="str">
        <x:v>No</x:v>
      </x:c>
      <x:c r="L20" s="14" t="str"/>
      <x:c r="M20" s="14" t="str"/>
      <x:c r="N20" s="14" t="str">
        <x:v>Kingmaker Kingdom Turns — 4714</x:v>
      </x:c>
      <x:c r="O20" s="14" t="str">
        <x:v>Established infrastructure; no dedicated local or World Anvil article identified.</x:v>
      </x:c>
    </x:row>
    <x:row r="21">
      <x:c r="A21" s="13" t="str">
        <x:v>Stable</x:v>
      </x:c>
      <x:c r="B21" s="13" t="str">
        <x:v>Stable</x:v>
      </x:c>
      <x:c r="C21" s="13" t="str">
        <x:v>No</x:v>
      </x:c>
      <x:c r="D21" s="13" t="str">
        <x:v>No</x:v>
      </x:c>
      <x:c r="E21" s="16" t="str"/>
      <x:c r="F21" s="15"/>
      <x:c r="G21" s="15" t="str">
        <x:f>IF(F21="","",EDATE(F21,12))</x:f>
      </x:c>
      <x:c r="H21" s="13" t="str">
        <x:f>IF(D21&lt;&gt;"Yes","N/A",IF(F21="","Date missing",IF(G21&lt;TODAY(),"Review due",IF(G21&lt;=TODAY()+90,"Review soon","Current"))))</x:f>
        <x:v>N/A</x:v>
      </x:c>
      <x:c r="I21" s="13" t="str">
        <x:v>No</x:v>
      </x:c>
      <x:c r="J21" s="14" t="str"/>
      <x:c r="K21" s="14" t="str">
        <x:v>No</x:v>
      </x:c>
      <x:c r="L21" s="14" t="str"/>
      <x:c r="M21" s="14" t="str"/>
      <x:c r="N21" s="14" t="str">
        <x:v>Kingmaker Kingdom Sheet — Urban Grids snapshot</x:v>
      </x:c>
      <x:c r="O21" s="14" t="str">
        <x:v>Confirmed on the supplied urban grid; no separate kingdom-turn reference captured in this register.</x:v>
      </x:c>
    </x:row>
    <x:row r="22">
      <x:c r="A22" s="13" t="str">
        <x:v>Tenement</x:v>
      </x:c>
      <x:c r="B22" s="13" t="str">
        <x:v>Residence</x:v>
      </x:c>
      <x:c r="C22" s="13" t="str">
        <x:v>No</x:v>
      </x:c>
      <x:c r="D22" s="13" t="str">
        <x:v>No</x:v>
      </x:c>
      <x:c r="E22" s="16" t="str"/>
      <x:c r="F22" s="15"/>
      <x:c r="G22" s="15" t="str">
        <x:f>IF(F22="","",EDATE(F22,12))</x:f>
      </x:c>
      <x:c r="H22" s="13" t="str">
        <x:f>IF(D22&lt;&gt;"Yes","N/A",IF(F22="","Date missing",IF(G22&lt;TODAY(),"Review due",IF(G22&lt;=TODAY()+90,"Review soon","Current"))))</x:f>
        <x:v>N/A</x:v>
      </x:c>
      <x:c r="I22" s="13" t="str">
        <x:v>No</x:v>
      </x:c>
      <x:c r="J22" s="14" t="str"/>
      <x:c r="K22" s="14" t="str">
        <x:v>No</x:v>
      </x:c>
      <x:c r="L22" s="14" t="str"/>
      <x:c r="M22" s="14" t="str"/>
      <x:c r="N22" s="14" t="str">
        <x:v>Kingmaker Kingdom Sheet — Urban Grids snapshot</x:v>
      </x:c>
      <x:c r="O22" s="14" t="str">
        <x:v>Confirmed on the supplied urban grid; no separate kingdom-turn reference captured in this register.</x:v>
      </x:c>
    </x:row>
    <x:row r="23">
      <x:c r="A23" s="13" t="str">
        <x:v>Wall, Wooden</x:v>
      </x:c>
      <x:c r="B23" s="13" t="str">
        <x:v>Fortification</x:v>
      </x:c>
      <x:c r="C23" s="13" t="str">
        <x:v>No</x:v>
      </x:c>
      <x:c r="D23" s="13" t="str">
        <x:v>No</x:v>
      </x:c>
      <x:c r="E23" s="16" t="str"/>
      <x:c r="F23" s="15"/>
      <x:c r="G23" s="15" t="str">
        <x:f>IF(F23="","",EDATE(F23,12))</x:f>
      </x:c>
      <x:c r="H23" s="13" t="str">
        <x:f>IF(D23&lt;&gt;"Yes","N/A",IF(F23="","Date missing",IF(G23&lt;TODAY(),"Review due",IF(G23&lt;=TODAY()+90,"Review soon","Current"))))</x:f>
        <x:v>N/A</x:v>
      </x:c>
      <x:c r="I23" s="13" t="str">
        <x:v>No</x:v>
      </x:c>
      <x:c r="J23" s="14" t="str"/>
      <x:c r="K23" s="14" t="str">
        <x:v>No</x:v>
      </x:c>
      <x:c r="L23" s="14" t="str"/>
      <x:c r="M23" s="14" t="str"/>
      <x:c r="N23" s="14" t="str">
        <x:v>Kingmaker Kingdom Sheet — Urban Grids snapshot</x:v>
      </x:c>
      <x:c r="O23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23">
    <x:cfRule type="containsText" dxfId="24" priority="1" operator="containsText" text="Review due"/>
    <x:cfRule type="containsText" dxfId="25" priority="2" operator="containsText" text="Review soon"/>
    <x:cfRule type="containsText" dxfId="26" priority="3" operator="containsText" text="Date missing"/>
  </x:conditionalFormatting>
  <x:conditionalFormatting sqref="D5:D23">
    <x:cfRule type="containsText" dxfId="27" priority="4" operator="containsText" text="No"/>
  </x:conditionalFormatting>
  <x:conditionalFormatting sqref="K5:K23">
    <x:cfRule type="containsText" dxfId="28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48d1d76be8c949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LONGTAIL ISLAND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Iruxi-majority island settlement.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Longtail Island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https://www.worldanvil.com/w/inner-sea-region-bobzap66/a/longtail-island-settlement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Mayor Vesket and the Iruxi community are central to local identity.</x:v>
      </x:c>
    </x:row>
    <x:row r="6">
      <x:c r="A6" s="13" t="str">
        <x:v>Tailforge Atelier</x:v>
      </x:c>
      <x:c r="B6" s="13" t="str">
        <x:v>Forge and atelier</x:v>
      </x:c>
      <x:c r="C6" s="13" t="str">
        <x:v>Yes</x:v>
      </x:c>
      <x:c r="D6" s="13" t="str">
        <x:v>Yes</x:v>
      </x:c>
      <x:c r="E6" s="16" t="str">
        <x:v>https://www.worldanvil.com/w/inner-sea-region-bobzap66/a/tailforge-atelier-landmark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Settlements\Longtail Island\Tailforge Atelier Article.txt</x:v>
      </x:c>
      <x:c r="K6" s="14" t="str">
        <x:v>Yes</x:v>
      </x:c>
      <x:c r="L6" s="14" t="str">
        <x:v>Settlements\Longtail Island\Tailforge Atelier.png</x:v>
      </x:c>
      <x:c r="M6" s="14" t="str">
        <x:v>Ssekesh; Mayor Vesket</x:v>
      </x:c>
      <x:c r="N6" s="14" t="str">
        <x:v>Local article; Kingmaker Kingdom Sheet — Urban Grids (Smithy)</x:v>
      </x:c>
      <x:c r="O6" s="14" t="str">
        <x:v>Iruxi craft workshop and public-facing expression of Longtail Island's culture. World Anvil template: Building / Landmark. Mechanically confirmed on the supplied urban grid as Smithy.</x:v>
      </x:c>
    </x:row>
    <x:row r="7">
      <x:c r="A7" s="13" t="str">
        <x:v>Watchtower</x:v>
      </x:c>
      <x:c r="B7" s="13" t="str">
        <x:v>Fortification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Sheet — Urban Grids; Kingmaker Kingdom Turns — 4711</x:v>
      </x:c>
      <x:c r="O7" s="14" t="str">
        <x:v>Established infrastructure; no dedicated local or World Anvil article identified.</x:v>
      </x:c>
    </x:row>
    <x:row r="8">
      <x:c r="A8" s="13" t="str">
        <x:v>Mill</x:v>
      </x:c>
      <x:c r="B8" s="13" t="str">
        <x:v>Mill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Sheet — Urban Grids; Kingmaker Kingdom Turns — 4711</x:v>
      </x:c>
      <x:c r="O8" s="14" t="str">
        <x:v>Established infrastructure; no dedicated local or World Anvil article identified.</x:v>
      </x:c>
    </x:row>
    <x:row r="9">
      <x:c r="A9" s="13" t="str">
        <x:v>Lumberyard</x:v>
      </x:c>
      <x:c r="B9" s="13" t="str">
        <x:v>Trade yard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Sheet — Urban Grids; Kingmaker Kingdom Turns — 4711</x:v>
      </x:c>
      <x:c r="O9" s="14" t="str">
        <x:v>Established infrastructure; no dedicated local or World Anvil article identified.</x:v>
      </x:c>
    </x:row>
    <x:row r="10">
      <x:c r="A10" s="13" t="str">
        <x:v>Inn</x:v>
      </x:c>
      <x:c r="B10" s="13" t="str">
        <x:v>Inn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Sheet — Urban Grids; Kingmaker Kingdom Turns — 4711</x:v>
      </x:c>
      <x:c r="O10" s="14" t="str">
        <x:v>Established infrastructure; no dedicated local or World Anvil article identified.</x:v>
      </x:c>
    </x:row>
    <x:row r="11">
      <x:c r="A11" s="13" t="str">
        <x:v>Garrison</x:v>
      </x:c>
      <x:c r="B11" s="13" t="str">
        <x:v>Military building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4712</x:v>
      </x:c>
      <x:c r="O11" s="14" t="str">
        <x:v>Established infrastructure; no dedicated local or World Anvil article identified.</x:v>
      </x:c>
    </x:row>
    <x:row r="12">
      <x:c r="A12" s="13" t="str">
        <x:v>Town hall</x:v>
      </x:c>
      <x:c r="B12" s="13" t="str">
        <x:v>Civic building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4712</x:v>
      </x:c>
      <x:c r="O12" s="14" t="str">
        <x:v>Established infrastructure; no dedicated local or World Anvil article identified.</x:v>
      </x:c>
    </x:row>
    <x:row r="13">
      <x:c r="A13" s="13" t="str">
        <x:v>General store</x:v>
      </x:c>
      <x:c r="B13" s="13" t="str">
        <x:v>Shop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4713</x:v>
      </x:c>
      <x:c r="O13" s="14" t="str">
        <x:v>Established infrastructure; no dedicated local or World Anvil article identified.</x:v>
      </x:c>
    </x:row>
    <x:row r="14">
      <x:c r="A14" s="13" t="str">
        <x:v>Embassy</x:v>
      </x:c>
      <x:c r="B14" s="13" t="str">
        <x:v>Civic building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Turns — 4713</x:v>
      </x:c>
      <x:c r="O14" s="14" t="str">
        <x:v>Established infrastructure; no dedicated local or World Anvil article identified.</x:v>
      </x:c>
    </x:row>
    <x:row r="15">
      <x:c r="A15" s="13" t="str">
        <x:v>Military academy</x:v>
      </x:c>
      <x:c r="B15" s="13" t="str">
        <x:v>Academy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Turns — 4714</x:v>
      </x:c>
      <x:c r="O15" s="14" t="str">
        <x:v>Established infrastructure; no dedicated local or World Anvil article identified.</x:v>
      </x:c>
    </x:row>
    <x:row r="16">
      <x:c r="A16" s="13" t="str">
        <x:v>Shrine</x:v>
      </x:c>
      <x:c r="B16" s="13" t="str">
        <x:v>Religious site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Sheet — Urban Grids; Kingmaker Kingdom Turns — 4714</x:v>
      </x:c>
      <x:c r="O16" s="14" t="str">
        <x:v>Established infrastructure; no dedicated local or World Anvil article identified.</x:v>
      </x:c>
    </x:row>
    <x:row r="17">
      <x:c r="A17" s="13" t="str">
        <x:v>Festival hall</x:v>
      </x:c>
      <x:c r="B17" s="13" t="str">
        <x:v>Festival hall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Turns — 4714</x:v>
      </x:c>
      <x:c r="O17" s="14" t="str">
        <x:v>Established infrastructure; no dedicated local or World Anvil article identified.</x:v>
      </x:c>
    </x:row>
    <x:row r="18">
      <x:c r="A18" s="13" t="str">
        <x:v>Barracks</x:v>
      </x:c>
      <x:c r="B18" s="13" t="str">
        <x:v>Military building</x:v>
      </x:c>
      <x:c r="C18" s="13" t="str">
        <x:v>No</x:v>
      </x:c>
      <x:c r="D18" s="13" t="str">
        <x:v>No</x:v>
      </x:c>
      <x:c r="E18" s="16" t="str"/>
      <x:c r="F18" s="15"/>
      <x:c r="G18" s="15" t="str">
        <x:f>IF(F18="","",EDATE(F18,12))</x:f>
      </x:c>
      <x:c r="H18" s="13" t="str">
        <x:f>IF(D18&lt;&gt;"Yes","N/A",IF(F18="","Date missing",IF(G18&lt;TODAY(),"Review due",IF(G18&lt;=TODAY()+90,"Review soon","Current"))))</x:f>
        <x:v>N/A</x:v>
      </x:c>
      <x:c r="I18" s="13" t="str">
        <x:v>No</x:v>
      </x:c>
      <x:c r="J18" s="14" t="str"/>
      <x:c r="K18" s="14" t="str">
        <x:v>No</x:v>
      </x:c>
      <x:c r="L18" s="14" t="str"/>
      <x:c r="M18" s="14" t="str"/>
      <x:c r="N18" s="14" t="str">
        <x:v>Kingmaker Kingdom Sheet — Urban Grids snapshot</x:v>
      </x:c>
      <x:c r="O18" s="14" t="str">
        <x:v>Confirmed on the supplied urban grid; no separate kingdom-turn reference captured in this register.</x:v>
      </x:c>
    </x:row>
    <x:row r="19">
      <x:c r="A19" s="13" t="str">
        <x:v>Bridge</x:v>
      </x:c>
      <x:c r="B19" s="13" t="str">
        <x:v>Infrastructure</x:v>
      </x:c>
      <x:c r="C19" s="13" t="str">
        <x:v>No</x:v>
      </x:c>
      <x:c r="D19" s="13" t="str">
        <x:v>No</x:v>
      </x:c>
      <x:c r="E19" s="16" t="str"/>
      <x:c r="F19" s="15"/>
      <x:c r="G19" s="15" t="str">
        <x:f>IF(F19="","",EDATE(F19,12))</x:f>
      </x:c>
      <x:c r="H19" s="13" t="str">
        <x:f>IF(D19&lt;&gt;"Yes","N/A",IF(F19="","Date missing",IF(G19&lt;TODAY(),"Review due",IF(G19&lt;=TODAY()+90,"Review soon","Current"))))</x:f>
        <x:v>N/A</x:v>
      </x:c>
      <x:c r="I19" s="13" t="str">
        <x:v>No</x:v>
      </x:c>
      <x:c r="J19" s="14" t="str"/>
      <x:c r="K19" s="14" t="str">
        <x:v>No</x:v>
      </x:c>
      <x:c r="L19" s="14" t="str"/>
      <x:c r="M19" s="14" t="str"/>
      <x:c r="N19" s="14" t="str">
        <x:v>Kingmaker Kingdom Sheet — Urban Grids snapshot</x:v>
      </x:c>
      <x:c r="O19" s="14" t="str">
        <x:v>Confirmed on the supplied urban grid; no separate kingdom-turn reference captured in this register.</x:v>
      </x:c>
    </x:row>
    <x:row r="20">
      <x:c r="A20" s="13" t="str">
        <x:v>Herbalist</x:v>
      </x:c>
      <x:c r="B20" s="13" t="str">
        <x:v>Shop</x:v>
      </x:c>
      <x:c r="C20" s="13" t="str">
        <x:v>No</x:v>
      </x:c>
      <x:c r="D20" s="13" t="str">
        <x:v>No</x:v>
      </x:c>
      <x:c r="E20" s="16" t="str"/>
      <x:c r="F20" s="15"/>
      <x:c r="G20" s="15" t="str">
        <x:f>IF(F20="","",EDATE(F20,12))</x:f>
      </x:c>
      <x:c r="H20" s="13" t="str">
        <x:f>IF(D20&lt;&gt;"Yes","N/A",IF(F20="","Date missing",IF(G20&lt;TODAY(),"Review due",IF(G20&lt;=TODAY()+90,"Review soon","Current"))))</x:f>
        <x:v>N/A</x:v>
      </x:c>
      <x:c r="I20" s="13" t="str">
        <x:v>No</x:v>
      </x:c>
      <x:c r="J20" s="14" t="str"/>
      <x:c r="K20" s="14" t="str">
        <x:v>No</x:v>
      </x:c>
      <x:c r="L20" s="14" t="str"/>
      <x:c r="M20" s="14" t="str"/>
      <x:c r="N20" s="14" t="str">
        <x:v>Kingmaker Kingdom Sheet — Urban Grids snapshot</x:v>
      </x:c>
      <x:c r="O20" s="14" t="str">
        <x:v>Confirmed on the supplied urban grid; no separate kingdom-turn reference captured in this register.</x:v>
      </x:c>
    </x:row>
    <x:row r="21">
      <x:c r="A21" s="13" t="str">
        <x:v>Houses</x:v>
      </x:c>
      <x:c r="B21" s="13" t="str">
        <x:v>Residence</x:v>
      </x:c>
      <x:c r="C21" s="13" t="str">
        <x:v>No</x:v>
      </x:c>
      <x:c r="D21" s="13" t="str">
        <x:v>No</x:v>
      </x:c>
      <x:c r="E21" s="16" t="str"/>
      <x:c r="F21" s="15"/>
      <x:c r="G21" s="15" t="str">
        <x:f>IF(F21="","",EDATE(F21,12))</x:f>
      </x:c>
      <x:c r="H21" s="13" t="str">
        <x:f>IF(D21&lt;&gt;"Yes","N/A",IF(F21="","Date missing",IF(G21&lt;TODAY(),"Review due",IF(G21&lt;=TODAY()+90,"Review soon","Current"))))</x:f>
        <x:v>N/A</x:v>
      </x:c>
      <x:c r="I21" s="13" t="str">
        <x:v>No</x:v>
      </x:c>
      <x:c r="J21" s="14" t="str"/>
      <x:c r="K21" s="14" t="str">
        <x:v>No</x:v>
      </x:c>
      <x:c r="L21" s="14" t="str"/>
      <x:c r="M21" s="14" t="str"/>
      <x:c r="N21" s="14" t="str">
        <x:v>Kingmaker Kingdom Sheet — Urban Grids snapshot</x:v>
      </x:c>
      <x:c r="O21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21">
    <x:cfRule type="containsText" dxfId="29" priority="1" operator="containsText" text="Review due"/>
    <x:cfRule type="containsText" dxfId="30" priority="2" operator="containsText" text="Review soon"/>
    <x:cfRule type="containsText" dxfId="31" priority="3" operator="containsText" text="Date missing"/>
  </x:conditionalFormatting>
  <x:conditionalFormatting sqref="D5:D21">
    <x:cfRule type="containsText" dxfId="32" priority="4" operator="containsText" text="No"/>
  </x:conditionalFormatting>
  <x:conditionalFormatting sqref="K5:K21">
    <x:cfRule type="containsText" dxfId="33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279c0deb150744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OLEGTON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Inland trade and agricultural town.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Olegton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https://www.worldanvil.com/w/inner-sea-region-bobzap66/a/olegton-settlement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No water access; Levet's Mill is wind-powered and serves the surrounding farms.</x:v>
      </x:c>
    </x:row>
    <x:row r="6">
      <x:c r="A6" s="13" t="str">
        <x:v>Levet's Mill</x:v>
      </x:c>
      <x:c r="B6" s="13" t="str">
        <x:v>Windmill</x:v>
      </x:c>
      <x:c r="C6" s="13" t="str">
        <x:v>Yes</x:v>
      </x:c>
      <x:c r="D6" s="13" t="str">
        <x:v>Yes</x:v>
      </x:c>
      <x:c r="E6" s="16" t="str">
        <x:v>https://www.worldanvil.com/w/inner-sea-region-bobzap66/a/levet-s-mill-landmark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Settlements\Olegton\Levet's Mill Article.txt</x:v>
      </x:c>
      <x:c r="K6" s="14" t="str">
        <x:v>Yes</x:v>
      </x:c>
      <x:c r="L6" s="14" t="str">
        <x:v>Settlements\Olegton\Levet's Mill.png</x:v>
      </x:c>
      <x:c r="M6" s="14" t="str">
        <x:v>Tavena Levet; Dorrin Oakgear; Nessa Crowfield; Kell Harth</x:v>
      </x:c>
      <x:c r="N6" s="14" t="str">
        <x:v>Local article; Kingmaker Kingdom Sheet — Urban Grids (Mill)</x:v>
      </x:c>
      <x:c r="O6" s="14" t="str">
        <x:v>Wind-powered mill; Olegton has no water access. World Anvil template: Building / Landmark. Mechanically confirmed on the supplied urban grid as Mill.</x:v>
      </x:c>
    </x:row>
    <x:row r="7">
      <x:c r="A7" s="13" t="str">
        <x:v>Marketplace</x:v>
      </x:c>
      <x:c r="B7" s="13" t="str">
        <x:v>Market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Sheet — Urban Grids; Kingmaker Kingdom Turns — 4711</x:v>
      </x:c>
      <x:c r="O7" s="14" t="str">
        <x:v>Established infrastructure; no dedicated local or World Anvil article identified.</x:v>
      </x:c>
    </x:row>
    <x:row r="8">
      <x:c r="A8" s="13" t="str">
        <x:v>Brewery</x:v>
      </x:c>
      <x:c r="B8" s="13" t="str">
        <x:v>Brewery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Sheet — Urban Grids; Kingmaker Kingdom Turns — 4710</x:v>
      </x:c>
      <x:c r="O8" s="14" t="str">
        <x:v>Established infrastructure; no dedicated local or World Anvil article identified.</x:v>
      </x:c>
    </x:row>
    <x:row r="9">
      <x:c r="A9" s="13" t="str">
        <x:v>Granary</x:v>
      </x:c>
      <x:c r="B9" s="13" t="str">
        <x:v>Granary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Sheet — Urban Grids; Kingmaker Kingdom Turns — 4710</x:v>
      </x:c>
      <x:c r="O9" s="14" t="str">
        <x:v>Established infrastructure; no dedicated local or World Anvil article identified.</x:v>
      </x:c>
    </x:row>
    <x:row r="10">
      <x:c r="A10" s="13" t="str">
        <x:v>Bakery</x:v>
      </x:c>
      <x:c r="B10" s="13" t="str">
        <x:v>Shop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4711</x:v>
      </x:c>
      <x:c r="O10" s="14" t="str">
        <x:v>Established infrastructure; no dedicated local or World Anvil article identified.</x:v>
      </x:c>
    </x:row>
    <x:row r="11">
      <x:c r="A11" s="13" t="str">
        <x:v>Trade shop</x:v>
      </x:c>
      <x:c r="B11" s="13" t="str">
        <x:v>Shop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Sheet — Urban Grids; Kingmaker Kingdom Turns — 4711</x:v>
      </x:c>
      <x:c r="O11" s="14" t="str">
        <x:v>Established infrastructure; no dedicated local or World Anvil article identified.</x:v>
      </x:c>
    </x:row>
    <x:row r="12">
      <x:c r="A12" s="13" t="str">
        <x:v>Stonemason</x:v>
      </x:c>
      <x:c r="B12" s="13" t="str">
        <x:v>Workshop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Sheet — Urban Grids; Kingmaker Kingdom Turns — 4711</x:v>
      </x:c>
      <x:c r="O12" s="14" t="str">
        <x:v>Established infrastructure; no dedicated local or World Anvil article identified.</x:v>
      </x:c>
    </x:row>
    <x:row r="13">
      <x:c r="A13" s="13" t="str">
        <x:v>Smithy</x:v>
      </x:c>
      <x:c r="B13" s="13" t="str">
        <x:v>Smithy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Sheet — Urban Grids; Kingmaker Kingdom Turns — 4711</x:v>
      </x:c>
      <x:c r="O13" s="14" t="str">
        <x:v>Established infrastructure; no dedicated local or World Anvil article identified.</x:v>
      </x:c>
    </x:row>
    <x:row r="14">
      <x:c r="A14" s="13" t="str">
        <x:v>Walls</x:v>
      </x:c>
      <x:c r="B14" s="13" t="str">
        <x:v>Fortification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Turns — 4712</x:v>
      </x:c>
      <x:c r="O14" s="14" t="str">
        <x:v>Established infrastructure; no dedicated local or World Anvil article identified.</x:v>
      </x:c>
    </x:row>
    <x:row r="15">
      <x:c r="A15" s="13" t="str">
        <x:v>Town hall</x:v>
      </x:c>
      <x:c r="B15" s="13" t="str">
        <x:v>Civic building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Sheet — Urban Grids; Kingmaker Kingdom Turns — 4712</x:v>
      </x:c>
      <x:c r="O15" s="14" t="str">
        <x:v>Established infrastructure; no dedicated local or World Anvil article identified.</x:v>
      </x:c>
    </x:row>
    <x:row r="16">
      <x:c r="A16" s="13" t="str">
        <x:v>Farmland</x:v>
      </x:c>
      <x:c r="B16" s="13" t="str">
        <x:v>Agricultural land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Turns — 4712</x:v>
      </x:c>
      <x:c r="O16" s="14" t="str">
        <x:v>Established infrastructure; no dedicated local or World Anvil article identified.</x:v>
      </x:c>
    </x:row>
    <x:row r="17">
      <x:c r="A17" s="13" t="str">
        <x:v>Carpenters' guildhall</x:v>
      </x:c>
      <x:c r="B17" s="13" t="str">
        <x:v>Guildhall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Turns — 4712</x:v>
      </x:c>
      <x:c r="O17" s="14" t="str">
        <x:v>Established infrastructure; no dedicated local or World Anvil article identified.</x:v>
      </x:c>
    </x:row>
    <x:row r="18">
      <x:c r="A18" s="13" t="str">
        <x:v>Luxury store</x:v>
      </x:c>
      <x:c r="B18" s="13" t="str">
        <x:v>Shop</x:v>
      </x:c>
      <x:c r="C18" s="13" t="str">
        <x:v>No</x:v>
      </x:c>
      <x:c r="D18" s="13" t="str">
        <x:v>No</x:v>
      </x:c>
      <x:c r="E18" s="16" t="str"/>
      <x:c r="F18" s="15"/>
      <x:c r="G18" s="15" t="str">
        <x:f>IF(F18="","",EDATE(F18,12))</x:f>
      </x:c>
      <x:c r="H18" s="13" t="str">
        <x:f>IF(D18&lt;&gt;"Yes","N/A",IF(F18="","Date missing",IF(G18&lt;TODAY(),"Review due",IF(G18&lt;=TODAY()+90,"Review soon","Current"))))</x:f>
        <x:v>N/A</x:v>
      </x:c>
      <x:c r="I18" s="13" t="str">
        <x:v>No</x:v>
      </x:c>
      <x:c r="J18" s="14" t="str"/>
      <x:c r="K18" s="14" t="str">
        <x:v>No</x:v>
      </x:c>
      <x:c r="L18" s="14" t="str"/>
      <x:c r="M18" s="14" t="str"/>
      <x:c r="N18" s="14" t="str">
        <x:v>Kingmaker Kingdom Turns — 4713</x:v>
      </x:c>
      <x:c r="O18" s="14" t="str">
        <x:v>Established infrastructure; no dedicated local or World Anvil article identified.</x:v>
      </x:c>
    </x:row>
    <x:row r="19">
      <x:c r="A19" s="13" t="str">
        <x:v>Sewers</x:v>
      </x:c>
      <x:c r="B19" s="13" t="str">
        <x:v>Infrastructure</x:v>
      </x:c>
      <x:c r="C19" s="13" t="str">
        <x:v>No</x:v>
      </x:c>
      <x:c r="D19" s="13" t="str">
        <x:v>No</x:v>
      </x:c>
      <x:c r="E19" s="16" t="str"/>
      <x:c r="F19" s="15"/>
      <x:c r="G19" s="15" t="str">
        <x:f>IF(F19="","",EDATE(F19,12))</x:f>
      </x:c>
      <x:c r="H19" s="13" t="str">
        <x:f>IF(D19&lt;&gt;"Yes","N/A",IF(F19="","Date missing",IF(G19&lt;TODAY(),"Review due",IF(G19&lt;=TODAY()+90,"Review soon","Current"))))</x:f>
        <x:v>N/A</x:v>
      </x:c>
      <x:c r="I19" s="13" t="str">
        <x:v>No</x:v>
      </x:c>
      <x:c r="J19" s="14" t="str"/>
      <x:c r="K19" s="14" t="str">
        <x:v>No</x:v>
      </x:c>
      <x:c r="L19" s="14" t="str"/>
      <x:c r="M19" s="14" t="str"/>
      <x:c r="N19" s="14" t="str">
        <x:v>Kingmaker Kingdom Turns — 4713</x:v>
      </x:c>
      <x:c r="O19" s="14" t="str">
        <x:v>Established infrastructure; no dedicated local or World Anvil article identified.</x:v>
      </x:c>
    </x:row>
    <x:row r="20">
      <x:c r="A20" s="13" t="str">
        <x:v>Temple</x:v>
      </x:c>
      <x:c r="B20" s="13" t="str">
        <x:v>Religious site</x:v>
      </x:c>
      <x:c r="C20" s="13" t="str">
        <x:v>No</x:v>
      </x:c>
      <x:c r="D20" s="13" t="str">
        <x:v>No</x:v>
      </x:c>
      <x:c r="E20" s="16" t="str"/>
      <x:c r="F20" s="15"/>
      <x:c r="G20" s="15" t="str">
        <x:f>IF(F20="","",EDATE(F20,12))</x:f>
      </x:c>
      <x:c r="H20" s="13" t="str">
        <x:f>IF(D20&lt;&gt;"Yes","N/A",IF(F20="","Date missing",IF(G20&lt;TODAY(),"Review due",IF(G20&lt;=TODAY()+90,"Review soon","Current"))))</x:f>
        <x:v>N/A</x:v>
      </x:c>
      <x:c r="I20" s="13" t="str">
        <x:v>No</x:v>
      </x:c>
      <x:c r="J20" s="14" t="str"/>
      <x:c r="K20" s="14" t="str">
        <x:v>No</x:v>
      </x:c>
      <x:c r="L20" s="14" t="str"/>
      <x:c r="M20" s="14" t="str"/>
      <x:c r="N20" s="14" t="str">
        <x:v>Kingmaker Kingdom Turns — 4713</x:v>
      </x:c>
      <x:c r="O20" s="14" t="str">
        <x:v>Established infrastructure; no dedicated local or World Anvil article identified.</x:v>
      </x:c>
    </x:row>
    <x:row r="21">
      <x:c r="A21" s="13" t="str">
        <x:v>Shrine</x:v>
      </x:c>
      <x:c r="B21" s="13" t="str">
        <x:v>Religious site</x:v>
      </x:c>
      <x:c r="C21" s="13" t="str">
        <x:v>No</x:v>
      </x:c>
      <x:c r="D21" s="13" t="str">
        <x:v>No</x:v>
      </x:c>
      <x:c r="E21" s="16" t="str"/>
      <x:c r="F21" s="15"/>
      <x:c r="G21" s="15" t="str">
        <x:f>IF(F21="","",EDATE(F21,12))</x:f>
      </x:c>
      <x:c r="H21" s="13" t="str">
        <x:f>IF(D21&lt;&gt;"Yes","N/A",IF(F21="","Date missing",IF(G21&lt;TODAY(),"Review due",IF(G21&lt;=TODAY()+90,"Review soon","Current"))))</x:f>
        <x:v>N/A</x:v>
      </x:c>
      <x:c r="I21" s="13" t="str">
        <x:v>No</x:v>
      </x:c>
      <x:c r="J21" s="14" t="str"/>
      <x:c r="K21" s="14" t="str">
        <x:v>No</x:v>
      </x:c>
      <x:c r="L21" s="14" t="str"/>
      <x:c r="M21" s="14" t="str"/>
      <x:c r="N21" s="14" t="str">
        <x:v>Kingmaker Kingdom Turns — 4714</x:v>
      </x:c>
      <x:c r="O21" s="14" t="str">
        <x:v>Established infrastructure; no dedicated local or World Anvil article identified.</x:v>
      </x:c>
    </x:row>
    <x:row r="22">
      <x:c r="A22" s="13" t="str">
        <x:v>Alchemy Laboratory</x:v>
      </x:c>
      <x:c r="B22" s="13" t="str">
        <x:v>Shop</x:v>
      </x:c>
      <x:c r="C22" s="13" t="str">
        <x:v>No</x:v>
      </x:c>
      <x:c r="D22" s="13" t="str">
        <x:v>No</x:v>
      </x:c>
      <x:c r="E22" s="16" t="str"/>
      <x:c r="F22" s="15"/>
      <x:c r="G22" s="15" t="str">
        <x:f>IF(F22="","",EDATE(F22,12))</x:f>
      </x:c>
      <x:c r="H22" s="13" t="str">
        <x:f>IF(D22&lt;&gt;"Yes","N/A",IF(F22="","Date missing",IF(G22&lt;TODAY(),"Review due",IF(G22&lt;=TODAY()+90,"Review soon","Current"))))</x:f>
        <x:v>N/A</x:v>
      </x:c>
      <x:c r="I22" s="13" t="str">
        <x:v>No</x:v>
      </x:c>
      <x:c r="J22" s="14" t="str"/>
      <x:c r="K22" s="14" t="str">
        <x:v>No</x:v>
      </x:c>
      <x:c r="L22" s="14" t="str"/>
      <x:c r="M22" s="14" t="str"/>
      <x:c r="N22" s="14" t="str">
        <x:v>Kingmaker Kingdom Sheet — Urban Grids snapshot</x:v>
      </x:c>
      <x:c r="O22" s="14" t="str">
        <x:v>Confirmed on the supplied urban grid; no separate kingdom-turn reference captured in this register.</x:v>
      </x:c>
    </x:row>
    <x:row r="23">
      <x:c r="A23" s="13" t="str">
        <x:v>General Store</x:v>
      </x:c>
      <x:c r="B23" s="13" t="str">
        <x:v>Shop</x:v>
      </x:c>
      <x:c r="C23" s="13" t="str">
        <x:v>No</x:v>
      </x:c>
      <x:c r="D23" s="13" t="str">
        <x:v>No</x:v>
      </x:c>
      <x:c r="E23" s="16" t="str"/>
      <x:c r="F23" s="15"/>
      <x:c r="G23" s="15" t="str">
        <x:f>IF(F23="","",EDATE(F23,12))</x:f>
      </x:c>
      <x:c r="H23" s="13" t="str">
        <x:f>IF(D23&lt;&gt;"Yes","N/A",IF(F23="","Date missing",IF(G23&lt;TODAY(),"Review due",IF(G23&lt;=TODAY()+90,"Review soon","Current"))))</x:f>
        <x:v>N/A</x:v>
      </x:c>
      <x:c r="I23" s="13" t="str">
        <x:v>No</x:v>
      </x:c>
      <x:c r="J23" s="14" t="str"/>
      <x:c r="K23" s="14" t="str">
        <x:v>No</x:v>
      </x:c>
      <x:c r="L23" s="14" t="str"/>
      <x:c r="M23" s="14" t="str"/>
      <x:c r="N23" s="14" t="str">
        <x:v>Kingmaker Kingdom Sheet — Urban Grids snapshot</x:v>
      </x:c>
      <x:c r="O23" s="14" t="str">
        <x:v>Confirmed on the supplied urban grid; no separate kingdom-turn reference captured in this register.</x:v>
      </x:c>
    </x:row>
    <x:row r="24">
      <x:c r="A24" s="13" t="str">
        <x:v>Houses</x:v>
      </x:c>
      <x:c r="B24" s="13" t="str">
        <x:v>Residence</x:v>
      </x:c>
      <x:c r="C24" s="13" t="str">
        <x:v>No</x:v>
      </x:c>
      <x:c r="D24" s="13" t="str">
        <x:v>No</x:v>
      </x:c>
      <x:c r="E24" s="16" t="str"/>
      <x:c r="F24" s="15"/>
      <x:c r="G24" s="15" t="str">
        <x:f>IF(F24="","",EDATE(F24,12))</x:f>
      </x:c>
      <x:c r="H24" s="13" t="str">
        <x:f>IF(D24&lt;&gt;"Yes","N/A",IF(F24="","Date missing",IF(G24&lt;TODAY(),"Review due",IF(G24&lt;=TODAY()+90,"Review soon","Current"))))</x:f>
        <x:v>N/A</x:v>
      </x:c>
      <x:c r="I24" s="13" t="str">
        <x:v>No</x:v>
      </x:c>
      <x:c r="J24" s="14" t="str"/>
      <x:c r="K24" s="14" t="str">
        <x:v>No</x:v>
      </x:c>
      <x:c r="L24" s="14" t="str"/>
      <x:c r="M24" s="14" t="str"/>
      <x:c r="N24" s="14" t="str">
        <x:v>Kingmaker Kingdom Sheet — Urban Grids snapshot</x:v>
      </x:c>
      <x:c r="O24" s="14" t="str">
        <x:v>Confirmed on the supplied urban grid; no separate kingdom-turn reference captured in this register.</x:v>
      </x:c>
    </x:row>
    <x:row r="25">
      <x:c r="A25" s="13" t="str">
        <x:v>Inn</x:v>
      </x:c>
      <x:c r="B25" s="13" t="str">
        <x:v>Inn</x:v>
      </x:c>
      <x:c r="C25" s="13" t="str">
        <x:v>No</x:v>
      </x:c>
      <x:c r="D25" s="13" t="str">
        <x:v>No</x:v>
      </x:c>
      <x:c r="E25" s="16" t="str"/>
      <x:c r="F25" s="15"/>
      <x:c r="G25" s="15" t="str">
        <x:f>IF(F25="","",EDATE(F25,12))</x:f>
      </x:c>
      <x:c r="H25" s="13" t="str">
        <x:f>IF(D25&lt;&gt;"Yes","N/A",IF(F25="","Date missing",IF(G25&lt;TODAY(),"Review due",IF(G25&lt;=TODAY()+90,"Review soon","Current"))))</x:f>
        <x:v>N/A</x:v>
      </x:c>
      <x:c r="I25" s="13" t="str">
        <x:v>No</x:v>
      </x:c>
      <x:c r="J25" s="14" t="str"/>
      <x:c r="K25" s="14" t="str">
        <x:v>No</x:v>
      </x:c>
      <x:c r="L25" s="14" t="str"/>
      <x:c r="M25" s="14" t="str"/>
      <x:c r="N25" s="14" t="str">
        <x:v>Kingmaker Kingdom Sheet — Urban Grids snapshot</x:v>
      </x:c>
      <x:c r="O25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25">
    <x:cfRule type="containsText" dxfId="34" priority="1" operator="containsText" text="Review due"/>
    <x:cfRule type="containsText" dxfId="35" priority="2" operator="containsText" text="Review soon"/>
    <x:cfRule type="containsText" dxfId="36" priority="3" operator="containsText" text="Date missing"/>
  </x:conditionalFormatting>
  <x:conditionalFormatting sqref="D5:D25">
    <x:cfRule type="containsText" dxfId="37" priority="4" operator="containsText" text="No"/>
  </x:conditionalFormatting>
  <x:conditionalFormatting sqref="K5:K25">
    <x:cfRule type="containsText" dxfId="38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bd74137010d74d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PITAX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Annexed city under provisional civic government.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Pitax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https://www.worldanvil.com/w/inner-sea-region-bobzap66/a/pitax-organization</x:v>
      </x:c>
      <x:c r="F5" s="15"/>
      <x:c r="G5" s="15" t="str">
        <x:f>IF(F5="","",EDATE(F5,12))</x:f>
      </x:c>
      <x:c r="H5" s="13" t="str">
        <x:f>IF(D5&lt;&gt;"Yes","N/A",IF(F5="","Date missing",IF(G5&lt;TODAY(),"Review due",IF(G5&lt;=TODAY()+90,"Review soon","Current"))))</x:f>
        <x:v>Date missing</x:v>
      </x:c>
      <x:c r="I5" s="13" t="str">
        <x:v>Yes</x:v>
      </x:c>
      <x:c r="J5" s="14" t="str">
        <x:v>Settlements\Pitax\Pitax Article.txt</x:v>
      </x:c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Local article reflects postwar civic government; World Anvil last-updated date still needs capture.</x:v>
      </x:c>
    </x:row>
  </x:sheetData>
  <x:mergeCells>
    <x:mergeCell ref="A1:O1"/>
    <x:mergeCell ref="A2:O2"/>
  </x:mergeCells>
  <x:conditionalFormatting sqref="H5:H5">
    <x:cfRule type="containsText" dxfId="39" priority="1" operator="containsText" text="Review due"/>
    <x:cfRule type="containsText" dxfId="40" priority="2" operator="containsText" text="Review soon"/>
    <x:cfRule type="containsText" dxfId="41" priority="3" operator="containsText" text="Date missing"/>
  </x:conditionalFormatting>
  <x:conditionalFormatting sqref="D5:D5">
    <x:cfRule type="containsText" dxfId="42" priority="4" operator="containsText" text="No"/>
  </x:conditionalFormatting>
  <x:conditionalFormatting sqref="K5:K5">
    <x:cfRule type="containsText" dxfId="43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daa0a320309a4b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SOOTSCALE VALLEY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Predominantly kobold settlement.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Sootscale Valley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https://www.worldanvil.com/w/inner-sea-region-bobzap66/a/sootscale-valley-settlement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Chief Sootscale is retired; Kereek is the current chief.</x:v>
      </x:c>
    </x:row>
    <x:row r="6">
      <x:c r="A6" s="13" t="str">
        <x:v>Riverside Shrine</x:v>
      </x:c>
      <x:c r="B6" s="13" t="str">
        <x:v>Riverside shrine</x:v>
      </x:c>
      <x:c r="C6" s="13" t="str">
        <x:v>Yes</x:v>
      </x:c>
      <x:c r="D6" s="13" t="str">
        <x:v>Yes</x:v>
      </x:c>
      <x:c r="E6" s="16" t="str">
        <x:v>https://www.worldanvil.com/w/inner-sea-region-bobzap66/a/riverside-shrine-landmark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Settlements\Sootscale Valley\Velka's Riverside Shrine Article.txt</x:v>
      </x:c>
      <x:c r="K6" s="14" t="str">
        <x:v>Yes</x:v>
      </x:c>
      <x:c r="L6" s="14" t="str">
        <x:v>Settlements\Sootscale Valley\Velka's Riverside Shrine.png</x:v>
      </x:c>
      <x:c r="M6" s="14" t="str">
        <x:v>Mek-Mek the Copperhand; Kikki the Reedwhisper; Old Mother Thruppa</x:v>
      </x:c>
      <x:c r="N6" s="14" t="str">
        <x:v>Player-source idea; local expansion</x:v>
      </x:c>
      <x:c r="O6" s="14" t="str">
        <x:v>Predominantly kobold community shrine developed with Hanspur canon in mind. World Anvil template: Building / Landmark. Local filename/title variant: Velka's Riverside Shrine.</x:v>
      </x:c>
    </x:row>
    <x:row r="7">
      <x:c r="A7" s="13" t="str">
        <x:v>Foundry</x:v>
      </x:c>
      <x:c r="B7" s="13" t="str">
        <x:v>Foundry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Sheet — Urban Grids; Kingmaker Kingdom Turns — 4711</x:v>
      </x:c>
      <x:c r="O7" s="14" t="str">
        <x:v>Established infrastructure; no dedicated local or World Anvil article identified.</x:v>
      </x:c>
    </x:row>
    <x:row r="8">
      <x:c r="A8" s="13" t="str">
        <x:v>Stonemason</x:v>
      </x:c>
      <x:c r="B8" s="13" t="str">
        <x:v>Workshop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Sheet — Urban Grids; Kingmaker Kingdom Turns — 4711</x:v>
      </x:c>
      <x:c r="O8" s="14" t="str">
        <x:v>Established infrastructure; no dedicated local or World Anvil article identified.</x:v>
      </x:c>
    </x:row>
    <x:row r="9">
      <x:c r="A9" s="13" t="str">
        <x:v>Walls</x:v>
      </x:c>
      <x:c r="B9" s="13" t="str">
        <x:v>Fortification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4712; 4713</x:v>
      </x:c>
      <x:c r="O9" s="14" t="str">
        <x:v>Established infrastructure; no dedicated local or World Anvil article identified.</x:v>
      </x:c>
    </x:row>
    <x:row r="10">
      <x:c r="A10" s="13" t="str">
        <x:v>Brewery</x:v>
      </x:c>
      <x:c r="B10" s="13" t="str">
        <x:v>Brewery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4712</x:v>
      </x:c>
      <x:c r="O10" s="14" t="str">
        <x:v>Established infrastructure; no dedicated local or World Anvil article identified.</x:v>
      </x:c>
    </x:row>
    <x:row r="11">
      <x:c r="A11" s="13" t="str">
        <x:v>Town hall</x:v>
      </x:c>
      <x:c r="B11" s="13" t="str">
        <x:v>Civic building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4712</x:v>
      </x:c>
      <x:c r="O11" s="14" t="str">
        <x:v>Established infrastructure; no dedicated local or World Anvil article identified.</x:v>
      </x:c>
    </x:row>
    <x:row r="12">
      <x:c r="A12" s="13" t="str">
        <x:v>Mansion</x:v>
      </x:c>
      <x:c r="B12" s="13" t="str">
        <x:v>Residence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4713</x:v>
      </x:c>
      <x:c r="O12" s="14" t="str">
        <x:v>Established infrastructure; no dedicated local or World Anvil article identified.</x:v>
      </x:c>
    </x:row>
    <x:row r="13">
      <x:c r="A13" s="13" t="str">
        <x:v>Lumberyard</x:v>
      </x:c>
      <x:c r="B13" s="13" t="str">
        <x:v>Trade yard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4713</x:v>
      </x:c>
      <x:c r="O13" s="14" t="str">
        <x:v>Established infrastructure; no dedicated local or World Anvil article identified.</x:v>
      </x:c>
    </x:row>
    <x:row r="14">
      <x:c r="A14" s="13" t="str">
        <x:v>Festival hall</x:v>
      </x:c>
      <x:c r="B14" s="13" t="str">
        <x:v>Festival hall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Turns — 4713</x:v>
      </x:c>
      <x:c r="O14" s="14" t="str">
        <x:v>Established infrastructure; no dedicated local or World Anvil article identified.</x:v>
      </x:c>
    </x:row>
    <x:row r="15">
      <x:c r="A15" s="13" t="str">
        <x:v>Popular tavern</x:v>
      </x:c>
      <x:c r="B15" s="13" t="str">
        <x:v>Tavern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Turns — 4714</x:v>
      </x:c>
      <x:c r="O15" s="14" t="str">
        <x:v>Established infrastructure; no dedicated local or World Anvil article identified.</x:v>
      </x:c>
    </x:row>
    <x:row r="16">
      <x:c r="A16" s="13" t="str">
        <x:v>Temple</x:v>
      </x:c>
      <x:c r="B16" s="13" t="str">
        <x:v>Religious site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Turns — 4714</x:v>
      </x:c>
      <x:c r="O16" s="14" t="str">
        <x:v>Established infrastructure; no dedicated local or World Anvil article identified.</x:v>
      </x:c>
    </x:row>
    <x:row r="17">
      <x:c r="A17" s="13" t="str">
        <x:v>Shrine</x:v>
      </x:c>
      <x:c r="B17" s="13" t="str">
        <x:v>Religious site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Turns — 4714</x:v>
      </x:c>
      <x:c r="O17" s="14" t="str">
        <x:v>Established infrastructure; no dedicated local or World Anvil article identified.</x:v>
      </x:c>
    </x:row>
    <x:row r="18">
      <x:c r="A18" s="13" t="str">
        <x:v>Park</x:v>
      </x:c>
      <x:c r="B18" s="13" t="str">
        <x:v>Park</x:v>
      </x:c>
      <x:c r="C18" s="13" t="str">
        <x:v>No</x:v>
      </x:c>
      <x:c r="D18" s="13" t="str">
        <x:v>No</x:v>
      </x:c>
      <x:c r="E18" s="16" t="str"/>
      <x:c r="F18" s="15"/>
      <x:c r="G18" s="15" t="str">
        <x:f>IF(F18="","",EDATE(F18,12))</x:f>
      </x:c>
      <x:c r="H18" s="13" t="str">
        <x:f>IF(D18&lt;&gt;"Yes","N/A",IF(F18="","Date missing",IF(G18&lt;TODAY(),"Review due",IF(G18&lt;=TODAY()+90,"Review soon","Current"))))</x:f>
        <x:v>N/A</x:v>
      </x:c>
      <x:c r="I18" s="13" t="str">
        <x:v>No</x:v>
      </x:c>
      <x:c r="J18" s="14" t="str"/>
      <x:c r="K18" s="14" t="str">
        <x:v>No</x:v>
      </x:c>
      <x:c r="L18" s="14" t="str"/>
      <x:c r="M18" s="14" t="str"/>
      <x:c r="N18" s="14" t="str">
        <x:v>Kingmaker Kingdom Turns — 4714</x:v>
      </x:c>
      <x:c r="O18" s="14" t="str">
        <x:v>Established infrastructure; no dedicated local or World Anvil article identified.</x:v>
      </x:c>
    </x:row>
    <x:row r="19">
      <x:c r="A19" s="13" t="str">
        <x:v>Watchtower</x:v>
      </x:c>
      <x:c r="B19" s="13" t="str">
        <x:v>Fortification</x:v>
      </x:c>
      <x:c r="C19" s="13" t="str">
        <x:v>No</x:v>
      </x:c>
      <x:c r="D19" s="13" t="str">
        <x:v>No</x:v>
      </x:c>
      <x:c r="E19" s="16" t="str"/>
      <x:c r="F19" s="15"/>
      <x:c r="G19" s="15" t="str">
        <x:f>IF(F19="","",EDATE(F19,12))</x:f>
      </x:c>
      <x:c r="H19" s="13" t="str">
        <x:f>IF(D19&lt;&gt;"Yes","N/A",IF(F19="","Date missing",IF(G19&lt;TODAY(),"Review due",IF(G19&lt;=TODAY()+90,"Review soon","Current"))))</x:f>
        <x:v>N/A</x:v>
      </x:c>
      <x:c r="I19" s="13" t="str">
        <x:v>No</x:v>
      </x:c>
      <x:c r="J19" s="14" t="str"/>
      <x:c r="K19" s="14" t="str">
        <x:v>No</x:v>
      </x:c>
      <x:c r="L19" s="14" t="str"/>
      <x:c r="M19" s="14" t="str"/>
      <x:c r="N19" s="14" t="str">
        <x:v>Kingmaker Kingdom Turns — 4714</x:v>
      </x:c>
      <x:c r="O19" s="14" t="str">
        <x:v>Established infrastructure; no dedicated local or World Anvil article identified.</x:v>
      </x:c>
    </x:row>
    <x:row r="20">
      <x:c r="A20" s="13" t="str">
        <x:v>Houses</x:v>
      </x:c>
      <x:c r="B20" s="13" t="str">
        <x:v>Residence</x:v>
      </x:c>
      <x:c r="C20" s="13" t="str">
        <x:v>No</x:v>
      </x:c>
      <x:c r="D20" s="13" t="str">
        <x:v>No</x:v>
      </x:c>
      <x:c r="E20" s="16" t="str"/>
      <x:c r="F20" s="15"/>
      <x:c r="G20" s="15" t="str">
        <x:f>IF(F20="","",EDATE(F20,12))</x:f>
      </x:c>
      <x:c r="H20" s="13" t="str">
        <x:f>IF(D20&lt;&gt;"Yes","N/A",IF(F20="","Date missing",IF(G20&lt;TODAY(),"Review due",IF(G20&lt;=TODAY()+90,"Review soon","Current"))))</x:f>
        <x:v>N/A</x:v>
      </x:c>
      <x:c r="I20" s="13" t="str">
        <x:v>No</x:v>
      </x:c>
      <x:c r="J20" s="14" t="str"/>
      <x:c r="K20" s="14" t="str">
        <x:v>No</x:v>
      </x:c>
      <x:c r="L20" s="14" t="str"/>
      <x:c r="M20" s="14" t="str"/>
      <x:c r="N20" s="14" t="str">
        <x:v>Kingmaker Kingdom Sheet — Urban Grids snapshot</x:v>
      </x:c>
      <x:c r="O20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20">
    <x:cfRule type="containsText" dxfId="44" priority="1" operator="containsText" text="Review due"/>
    <x:cfRule type="containsText" dxfId="45" priority="2" operator="containsText" text="Review soon"/>
    <x:cfRule type="containsText" dxfId="46" priority="3" operator="containsText" text="Date missing"/>
  </x:conditionalFormatting>
  <x:conditionalFormatting sqref="D5:D20">
    <x:cfRule type="containsText" dxfId="47" priority="4" operator="containsText" text="No"/>
  </x:conditionalFormatting>
  <x:conditionalFormatting sqref="K5:K20">
    <x:cfRule type="containsText" dxfId="48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1144d31cade445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TATZLFORD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Forest town and craft center.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Tatzlford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https://www.worldanvil.com/w/inner-sea-region-bobzap66/a/tatzlford-settlement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Founded by Loy and Latricia Rezbin; the Joined Hands ties together its trades.</x:v>
      </x:c>
    </x:row>
    <x:row r="6">
      <x:c r="A6" s="13" t="str">
        <x:v>Guildhall of the Joined Hands</x:v>
      </x:c>
      <x:c r="B6" s="13" t="str">
        <x:v>Guildhall</x:v>
      </x:c>
      <x:c r="C6" s="13" t="str">
        <x:v>Yes</x:v>
      </x:c>
      <x:c r="D6" s="13" t="str">
        <x:v>Yes</x:v>
      </x:c>
      <x:c r="E6" s="16" t="str">
        <x:v>https://www.worldanvil.com/w/inner-sea-region-bobzap66/a/guildhall-of-the-joined-hands-landmark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Settlements\Tatzlford\Guildhall of the Joined Hands Article.txt</x:v>
      </x:c>
      <x:c r="K6" s="14" t="str">
        <x:v>Yes</x:v>
      </x:c>
      <x:c r="L6" s="14" t="str">
        <x:v>Settlements\Tatzlford\Guildhall of the Joined Hands.png</x:v>
      </x:c>
      <x:c r="M6" s="14" t="str">
        <x:v>Garrin Whetforge; Lissa Tarmel; Fenno Pike; Nessa Vale</x:v>
      </x:c>
      <x:c r="N6" s="14" t="str">
        <x:v>Local article</x:v>
      </x:c>
      <x:c r="O6" s="14" t="str">
        <x:v>Cross-trade guildhall in a diverse forest settlement. World Anvil template: Building / Landmark.</x:v>
      </x:c>
    </x:row>
    <x:row r="7">
      <x:c r="A7" s="13" t="str">
        <x:v>Lumberyard</x:v>
      </x:c>
      <x:c r="B7" s="13" t="str">
        <x:v>Trade yard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Sheet — Urban Grids; Kingmaker Kingdom Turns — 4711</x:v>
      </x:c>
      <x:c r="O7" s="14" t="str">
        <x:v>Established infrastructure; no dedicated local or World Anvil article identified.</x:v>
      </x:c>
    </x:row>
    <x:row r="8">
      <x:c r="A8" s="13" t="str">
        <x:v>Dump</x:v>
      </x:c>
      <x:c r="B8" s="13" t="str">
        <x:v>Infrastructure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Sheet — Urban Grids; Kingmaker Kingdom Turns — 4711</x:v>
      </x:c>
      <x:c r="O8" s="14" t="str">
        <x:v>Established infrastructure; no dedicated local or World Anvil article identified.</x:v>
      </x:c>
    </x:row>
    <x:row r="9">
      <x:c r="A9" s="13" t="str">
        <x:v>Mill</x:v>
      </x:c>
      <x:c r="B9" s="13" t="str">
        <x:v>Mill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Sheet — Urban Grids; Kingmaker Kingdom Turns — 4711</x:v>
      </x:c>
      <x:c r="O9" s="14" t="str">
        <x:v>Established infrastructure; no dedicated local or World Anvil article identified.</x:v>
      </x:c>
    </x:row>
    <x:row r="10">
      <x:c r="A10" s="13" t="str">
        <x:v>Wooden walls</x:v>
      </x:c>
      <x:c r="B10" s="13" t="str">
        <x:v>Fortification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4711; 4712</x:v>
      </x:c>
      <x:c r="O10" s="14" t="str">
        <x:v>Established infrastructure; no dedicated local or World Anvil article identified.</x:v>
      </x:c>
    </x:row>
    <x:row r="11">
      <x:c r="A11" s="13" t="str">
        <x:v>Bridge</x:v>
      </x:c>
      <x:c r="B11" s="13" t="str">
        <x:v>Infrastructure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4711</x:v>
      </x:c>
      <x:c r="O11" s="14" t="str">
        <x:v>Established infrastructure; no dedicated local or World Anvil article identified.</x:v>
      </x:c>
    </x:row>
    <x:row r="12">
      <x:c r="A12" s="13" t="str">
        <x:v>Town hall</x:v>
      </x:c>
      <x:c r="B12" s="13" t="str">
        <x:v>Civic building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Sheet — Urban Grids; Kingmaker Kingdom Turns — 4712</x:v>
      </x:c>
      <x:c r="O12" s="14" t="str">
        <x:v>Established infrastructure; no dedicated local or World Anvil article identified.</x:v>
      </x:c>
    </x:row>
    <x:row r="13">
      <x:c r="A13" s="13" t="str">
        <x:v>Park</x:v>
      </x:c>
      <x:c r="B13" s="13" t="str">
        <x:v>Park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4713</x:v>
      </x:c>
      <x:c r="O13" s="14" t="str">
        <x:v>Established infrastructure; no dedicated local or World Anvil article identified.</x:v>
      </x:c>
    </x:row>
    <x:row r="14">
      <x:c r="A14" s="13" t="str">
        <x:v>Brewery</x:v>
      </x:c>
      <x:c r="B14" s="13" t="str">
        <x:v>Brewery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Turns — 4713</x:v>
      </x:c>
      <x:c r="O14" s="14" t="str">
        <x:v>Established infrastructure; no dedicated local or World Anvil article identified.</x:v>
      </x:c>
    </x:row>
    <x:row r="15">
      <x:c r="A15" s="13" t="str">
        <x:v>Marketplace</x:v>
      </x:c>
      <x:c r="B15" s="13" t="str">
        <x:v>Market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Turns — 4713</x:v>
      </x:c>
      <x:c r="O15" s="14" t="str">
        <x:v>Established infrastructure; no dedicated local or World Anvil article identified.</x:v>
      </x:c>
    </x:row>
    <x:row r="16">
      <x:c r="A16" s="13" t="str">
        <x:v>Sewers</x:v>
      </x:c>
      <x:c r="B16" s="13" t="str">
        <x:v>Infrastructure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Turns — 4714</x:v>
      </x:c>
      <x:c r="O16" s="14" t="str">
        <x:v>Established infrastructure; no dedicated local or World Anvil article identified.</x:v>
      </x:c>
    </x:row>
    <x:row r="17">
      <x:c r="A17" s="13" t="str">
        <x:v>Watchtower</x:v>
      </x:c>
      <x:c r="B17" s="13" t="str">
        <x:v>Fortification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Turns — 4714</x:v>
      </x:c>
      <x:c r="O17" s="14" t="str">
        <x:v>Established infrastructure; no dedicated local or World Anvil article identified.</x:v>
      </x:c>
    </x:row>
    <x:row r="18">
      <x:c r="A18" s="13" t="str">
        <x:v>Shrine</x:v>
      </x:c>
      <x:c r="B18" s="13" t="str">
        <x:v>Religious site</x:v>
      </x:c>
      <x:c r="C18" s="13" t="str">
        <x:v>No</x:v>
      </x:c>
      <x:c r="D18" s="13" t="str">
        <x:v>No</x:v>
      </x:c>
      <x:c r="E18" s="16" t="str"/>
      <x:c r="F18" s="15"/>
      <x:c r="G18" s="15" t="str">
        <x:f>IF(F18="","",EDATE(F18,12))</x:f>
      </x:c>
      <x:c r="H18" s="13" t="str">
        <x:f>IF(D18&lt;&gt;"Yes","N/A",IF(F18="","Date missing",IF(G18&lt;TODAY(),"Review due",IF(G18&lt;=TODAY()+90,"Review soon","Current"))))</x:f>
        <x:v>N/A</x:v>
      </x:c>
      <x:c r="I18" s="13" t="str">
        <x:v>No</x:v>
      </x:c>
      <x:c r="J18" s="14" t="str"/>
      <x:c r="K18" s="14" t="str">
        <x:v>No</x:v>
      </x:c>
      <x:c r="L18" s="14" t="str"/>
      <x:c r="M18" s="14" t="str"/>
      <x:c r="N18" s="14" t="str">
        <x:v>Kingmaker Kingdom Turns — 4714</x:v>
      </x:c>
      <x:c r="O18" s="14" t="str">
        <x:v>Established infrastructure; no dedicated local or World Anvil article identified.</x:v>
      </x:c>
    </x:row>
    <x:row r="19">
      <x:c r="A19" s="13" t="str">
        <x:v>Houses</x:v>
      </x:c>
      <x:c r="B19" s="13" t="str">
        <x:v>Residence</x:v>
      </x:c>
      <x:c r="C19" s="13" t="str">
        <x:v>No</x:v>
      </x:c>
      <x:c r="D19" s="13" t="str">
        <x:v>No</x:v>
      </x:c>
      <x:c r="E19" s="16" t="str"/>
      <x:c r="F19" s="15"/>
      <x:c r="G19" s="15" t="str">
        <x:f>IF(F19="","",EDATE(F19,12))</x:f>
      </x:c>
      <x:c r="H19" s="13" t="str">
        <x:f>IF(D19&lt;&gt;"Yes","N/A",IF(F19="","Date missing",IF(G19&lt;TODAY(),"Review due",IF(G19&lt;=TODAY()+90,"Review soon","Current"))))</x:f>
        <x:v>N/A</x:v>
      </x:c>
      <x:c r="I19" s="13" t="str">
        <x:v>No</x:v>
      </x:c>
      <x:c r="J19" s="14" t="str"/>
      <x:c r="K19" s="14" t="str">
        <x:v>No</x:v>
      </x:c>
      <x:c r="L19" s="14" t="str"/>
      <x:c r="M19" s="14" t="str"/>
      <x:c r="N19" s="14" t="str">
        <x:v>Kingmaker Kingdom Sheet — Urban Grids snapshot</x:v>
      </x:c>
      <x:c r="O19" s="14" t="str">
        <x:v>Confirmed on the supplied urban grid; no separate kingdom-turn reference captured in this register.</x:v>
      </x:c>
    </x:row>
    <x:row r="20">
      <x:c r="A20" s="13" t="str">
        <x:v>Inn</x:v>
      </x:c>
      <x:c r="B20" s="13" t="str">
        <x:v>Inn</x:v>
      </x:c>
      <x:c r="C20" s="13" t="str">
        <x:v>No</x:v>
      </x:c>
      <x:c r="D20" s="13" t="str">
        <x:v>No</x:v>
      </x:c>
      <x:c r="E20" s="16" t="str"/>
      <x:c r="F20" s="15"/>
      <x:c r="G20" s="15" t="str">
        <x:f>IF(F20="","",EDATE(F20,12))</x:f>
      </x:c>
      <x:c r="H20" s="13" t="str">
        <x:f>IF(D20&lt;&gt;"Yes","N/A",IF(F20="","Date missing",IF(G20&lt;TODAY(),"Review due",IF(G20&lt;=TODAY()+90,"Review soon","Current"))))</x:f>
        <x:v>N/A</x:v>
      </x:c>
      <x:c r="I20" s="13" t="str">
        <x:v>No</x:v>
      </x:c>
      <x:c r="J20" s="14" t="str"/>
      <x:c r="K20" s="14" t="str">
        <x:v>No</x:v>
      </x:c>
      <x:c r="L20" s="14" t="str"/>
      <x:c r="M20" s="14" t="str"/>
      <x:c r="N20" s="14" t="str">
        <x:v>Kingmaker Kingdom Sheet — Urban Grids snapshot</x:v>
      </x:c>
      <x:c r="O20" s="14" t="str">
        <x:v>Confirmed on the supplied urban grid; no separate kingdom-turn reference captured in this register.</x:v>
      </x:c>
    </x:row>
    <x:row r="21">
      <x:c r="A21" s="13" t="str">
        <x:v>Jail</x:v>
      </x:c>
      <x:c r="B21" s="13" t="str">
        <x:v>Civic building</x:v>
      </x:c>
      <x:c r="C21" s="13" t="str">
        <x:v>No</x:v>
      </x:c>
      <x:c r="D21" s="13" t="str">
        <x:v>No</x:v>
      </x:c>
      <x:c r="E21" s="16" t="str"/>
      <x:c r="F21" s="15"/>
      <x:c r="G21" s="15" t="str">
        <x:f>IF(F21="","",EDATE(F21,12))</x:f>
      </x:c>
      <x:c r="H21" s="13" t="str">
        <x:f>IF(D21&lt;&gt;"Yes","N/A",IF(F21="","Date missing",IF(G21&lt;TODAY(),"Review due",IF(G21&lt;=TODAY()+90,"Review soon","Current"))))</x:f>
        <x:v>N/A</x:v>
      </x:c>
      <x:c r="I21" s="13" t="str">
        <x:v>No</x:v>
      </x:c>
      <x:c r="J21" s="14" t="str"/>
      <x:c r="K21" s="14" t="str">
        <x:v>No</x:v>
      </x:c>
      <x:c r="L21" s="14" t="str"/>
      <x:c r="M21" s="14" t="str"/>
      <x:c r="N21" s="14" t="str">
        <x:v>Kingmaker Kingdom Sheet — Urban Grids snapshot</x:v>
      </x:c>
      <x:c r="O21" s="14" t="str">
        <x:v>Confirmed on the supplied urban grid; no separate kingdom-turn reference captured in this register.</x:v>
      </x:c>
    </x:row>
    <x:row r="22">
      <x:c r="A22" s="13" t="str">
        <x:v>Monument</x:v>
      </x:c>
      <x:c r="B22" s="13" t="str">
        <x:v>Monument</x:v>
      </x:c>
      <x:c r="C22" s="13" t="str">
        <x:v>No</x:v>
      </x:c>
      <x:c r="D22" s="13" t="str">
        <x:v>No</x:v>
      </x:c>
      <x:c r="E22" s="16" t="str"/>
      <x:c r="F22" s="15"/>
      <x:c r="G22" s="15" t="str">
        <x:f>IF(F22="","",EDATE(F22,12))</x:f>
      </x:c>
      <x:c r="H22" s="13" t="str">
        <x:f>IF(D22&lt;&gt;"Yes","N/A",IF(F22="","Date missing",IF(G22&lt;TODAY(),"Review due",IF(G22&lt;=TODAY()+90,"Review soon","Current"))))</x:f>
        <x:v>N/A</x:v>
      </x:c>
      <x:c r="I22" s="13" t="str">
        <x:v>No</x:v>
      </x:c>
      <x:c r="J22" s="14" t="str"/>
      <x:c r="K22" s="14" t="str">
        <x:v>No</x:v>
      </x:c>
      <x:c r="L22" s="14" t="str"/>
      <x:c r="M22" s="14" t="str"/>
      <x:c r="N22" s="14" t="str">
        <x:v>Kingmaker Kingdom Sheet — Urban Grids snapshot</x:v>
      </x:c>
      <x:c r="O22" s="14" t="str">
        <x:v>Confirmed on the supplied urban grid; no separate kingdom-turn reference captured in this register.</x:v>
      </x:c>
    </x:row>
    <x:row r="23">
      <x:c r="A23" s="13" t="str">
        <x:v>Stockyard</x:v>
      </x:c>
      <x:c r="B23" s="13" t="str">
        <x:v>Stockyard</x:v>
      </x:c>
      <x:c r="C23" s="13" t="str">
        <x:v>No</x:v>
      </x:c>
      <x:c r="D23" s="13" t="str">
        <x:v>No</x:v>
      </x:c>
      <x:c r="E23" s="16" t="str"/>
      <x:c r="F23" s="15"/>
      <x:c r="G23" s="15" t="str">
        <x:f>IF(F23="","",EDATE(F23,12))</x:f>
      </x:c>
      <x:c r="H23" s="13" t="str">
        <x:f>IF(D23&lt;&gt;"Yes","N/A",IF(F23="","Date missing",IF(G23&lt;TODAY(),"Review due",IF(G23&lt;=TODAY()+90,"Review soon","Current"))))</x:f>
        <x:v>N/A</x:v>
      </x:c>
      <x:c r="I23" s="13" t="str">
        <x:v>No</x:v>
      </x:c>
      <x:c r="J23" s="14" t="str"/>
      <x:c r="K23" s="14" t="str">
        <x:v>No</x:v>
      </x:c>
      <x:c r="L23" s="14" t="str"/>
      <x:c r="M23" s="14" t="str"/>
      <x:c r="N23" s="14" t="str">
        <x:v>Kingmaker Kingdom Sheet — Urban Grids snapshot</x:v>
      </x:c>
      <x:c r="O23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23">
    <x:cfRule type="containsText" dxfId="49" priority="1" operator="containsText" text="Review due"/>
    <x:cfRule type="containsText" dxfId="50" priority="2" operator="containsText" text="Review soon"/>
    <x:cfRule type="containsText" dxfId="51" priority="3" operator="containsText" text="Date missing"/>
  </x:conditionalFormatting>
  <x:conditionalFormatting sqref="D5:D23">
    <x:cfRule type="containsText" dxfId="52" priority="4" operator="containsText" text="No"/>
  </x:conditionalFormatting>
  <x:conditionalFormatting sqref="K5:K23">
    <x:cfRule type="containsText" dxfId="53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670c4696b04045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THUMPINGTON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Capital of the Republic of Thumping Waters.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Thumpington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https://www.worldanvil.com/w/inner-sea-region-bobzap66/a/thumpington-settlement</x:v>
      </x:c>
      <x:c r="F5" s="15" t="n">
        <x:v>46266.666666666664</x:v>
      </x:c>
      <x:c r="G5" s="15" t="n">
        <x:f>IF(F5="","",EDATE(F5,12))</x:f>
        <x:v>46631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Yes</x:v>
      </x:c>
      <x:c r="J5" s="14" t="str">
        <x:v>Settlements\Thumpington\Thumpington Article.txt</x:v>
      </x:c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Most fully developed settlement; home of the Free University, Temple of First Light, and Lantern and Ledger.</x:v>
      </x:c>
    </x:row>
    <x:row r="6">
      <x:c r="A6" s="13" t="str">
        <x:v>Free University of Thumping Waters</x:v>
      </x:c>
      <x:c r="B6" s="13" t="str">
        <x:v>University</x:v>
      </x:c>
      <x:c r="C6" s="13" t="str">
        <x:v>Yes</x:v>
      </x:c>
      <x:c r="D6" s="13" t="str">
        <x:v>Yes</x:v>
      </x:c>
      <x:c r="E6" s="16" t="str">
        <x:v>https://www.worldanvil.com/w/inner-sea-region-bobzap66/a/free-university-of-thumping-waters-organization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Settlements\Thumpington\Free University of Thumping Waters Article.txt</x:v>
      </x:c>
      <x:c r="K6" s="14" t="str">
        <x:v>Yes</x:v>
      </x:c>
      <x:c r="L6" s="14" t="str">
        <x:v>Settlements\Thumpington\Free University of Thumping Waters.png</x:v>
      </x:c>
      <x:c r="M6" s="14" t="str">
        <x:v>Eobald; Linzi; Rikka Tallowglass; Anika Sorn; Tomas Vey; Ilyana Reeds</x:v>
      </x:c>
      <x:c r="N6" s="14" t="str">
        <x:v>World Anvil and local article</x:v>
      </x:c>
      <x:c r="O6" s="14" t="str">
        <x:v>Scholarly institution carrying Nok-Nok's legacy into teaching, archives, and public research. World Anvil template: Organization.</x:v>
      </x:c>
    </x:row>
    <x:row r="7">
      <x:c r="A7" s="13" t="str">
        <x:v>Temple of the First Light</x:v>
      </x:c>
      <x:c r="B7" s="13" t="str">
        <x:v>Temple of Sarenrae</x:v>
      </x:c>
      <x:c r="C7" s="13" t="str">
        <x:v>Yes</x:v>
      </x:c>
      <x:c r="D7" s="13" t="str">
        <x:v>Yes</x:v>
      </x:c>
      <x:c r="E7" s="16" t="str">
        <x:v>https://www.worldanvil.com/w/inner-sea-region-bobzap66/a/temple-of-the-first-light-landmark</x:v>
      </x:c>
      <x:c r="F7" s="15" t="n">
        <x:v>46267.666666666664</x:v>
      </x:c>
      <x:c r="G7" s="15" t="n">
        <x:f>IF(F7="","",EDATE(F7,12))</x:f>
        <x:v>46632</x:v>
      </x:c>
      <x:c r="H7" s="13" t="str">
        <x:f>IF(D7&lt;&gt;"Yes","N/A",IF(F7="","Date missing",IF(G7&lt;TODAY(),"Review due",IF(G7&lt;=TODAY()+90,"Review soon","Current"))))</x:f>
        <x:v>Current</x:v>
      </x:c>
      <x:c r="I7" s="13" t="str">
        <x:v>Yes</x:v>
      </x:c>
      <x:c r="J7" s="14" t="str">
        <x:v>Settlements\Thumpington\Temple of First Light Article.txt</x:v>
      </x:c>
      <x:c r="K7" s="14" t="str">
        <x:v>Yes</x:v>
      </x:c>
      <x:c r="L7" s="14" t="str">
        <x:v>Settlements\Thumpington\Temple of First Light.png</x:v>
      </x:c>
      <x:c r="M7" s="14" t="str">
        <x:v>Tristian; First Dawnpriest Samira Veyd; Hearthwarden Oren Pell; Dawnblade Kalessa Marr</x:v>
      </x:c>
      <x:c r="N7" s="14" t="str">
        <x:v>Local article</x:v>
      </x:c>
      <x:c r="O7" s="14" t="str">
        <x:v>Named Sarenite temple funded and shaped by Tristian. World Anvil template: Building / Landmark. Local filename/title variant: Temple of First Light.</x:v>
      </x:c>
    </x:row>
    <x:row r="8">
      <x:c r="A8" s="13" t="str">
        <x:v>Tristian's Dawn</x:v>
      </x:c>
      <x:c r="B8" s="13" t="str">
        <x:v>Orphanage</x:v>
      </x:c>
      <x:c r="C8" s="13" t="str">
        <x:v>Yes</x:v>
      </x:c>
      <x:c r="D8" s="13" t="str">
        <x:v>Yes</x:v>
      </x:c>
      <x:c r="E8" s="16" t="str">
        <x:v>https://www.worldanvil.com/w/inner-sea-region-bobzap66/a/tristian-s-dawn-landmark</x:v>
      </x:c>
      <x:c r="F8" s="15" t="n">
        <x:v>46267.666666666664</x:v>
      </x:c>
      <x:c r="G8" s="15" t="n">
        <x:f>IF(F8="","",EDATE(F8,12))</x:f>
        <x:v>46632</x:v>
      </x:c>
      <x:c r="H8" s="13" t="str">
        <x:f>IF(D8&lt;&gt;"Yes","N/A",IF(F8="","Date missing",IF(G8&lt;TODAY(),"Review due",IF(G8&lt;=TODAY()+90,"Review soon","Current"))))</x:f>
        <x:v>Current</x:v>
      </x:c>
      <x:c r="I8" s="13" t="str">
        <x:v>Yes</x:v>
      </x:c>
      <x:c r="J8" s="14" t="str">
        <x:v>Settlements\Thumpington\Tristian's Dawn Article.txt</x:v>
      </x:c>
      <x:c r="K8" s="14" t="str">
        <x:v>Yes</x:v>
      </x:c>
      <x:c r="L8" s="14" t="str">
        <x:v>Settlements\Thumpington\Tristian's Dawn.png</x:v>
      </x:c>
      <x:c r="M8" s="14" t="str">
        <x:v>Tristian; Dawnwarden Amaya Qadir; Tella Bramble; Brother Corren Voss; Sister Branna Freecup; Varka Stonekettle; Marek Hollowreed</x:v>
      </x:c>
      <x:c r="N8" s="14" t="str">
        <x:v>Local article; Kingmaker Kingdom Sheet — Urban Grids (Orphanage)</x:v>
      </x:c>
      <x:c r="O8" s="14" t="str">
        <x:v>Sarenite-funded orphanage with Caydenite participation. World Anvil template: Building / Landmark. Mechanically confirmed on the supplied urban grid as Orphanage.</x:v>
      </x:c>
    </x:row>
    <x:row r="9">
      <x:c r="A9" s="13" t="str">
        <x:v>Roc's Omelette</x:v>
      </x:c>
      <x:c r="B9" s="13" t="str">
        <x:v>Restaurant</x:v>
      </x:c>
      <x:c r="C9" s="13" t="str">
        <x:v>Yes</x:v>
      </x:c>
      <x:c r="D9" s="13" t="str">
        <x:v>Yes</x:v>
      </x:c>
      <x:c r="E9" s="16" t="str">
        <x:v>https://www.worldanvil.com/w/inner-sea-region-bobzap66/a/roc-s-omelette-landmark</x:v>
      </x:c>
      <x:c r="F9" s="15" t="n">
        <x:v>46267.666666666664</x:v>
      </x:c>
      <x:c r="G9" s="15" t="n">
        <x:f>IF(F9="","",EDATE(F9,12))</x:f>
        <x:v>46632</x:v>
      </x:c>
      <x:c r="H9" s="13" t="str">
        <x:f>IF(D9&lt;&gt;"Yes","N/A",IF(F9="","Date missing",IF(G9&lt;TODAY(),"Review due",IF(G9&lt;=TODAY()+90,"Review soon","Current"))))</x:f>
        <x:v>Current</x:v>
      </x:c>
      <x:c r="I9" s="13" t="str">
        <x:v>Yes</x:v>
      </x:c>
      <x:c r="J9" s="14" t="str">
        <x:v>Settlements\Thumpington\The Roc's Omelette Article.txt</x:v>
      </x:c>
      <x:c r="K9" s="14" t="str">
        <x:v>Yes</x:v>
      </x:c>
      <x:c r="L9" s="14" t="str">
        <x:v>Settlements\Thumpington\The Roc's Omelette.png</x:v>
      </x:c>
      <x:c r="M9" s="14" t="str">
        <x:v>Jamery Gerbasken</x:v>
      </x:c>
      <x:c r="N9" s="14" t="str">
        <x:v>Local article</x:v>
      </x:c>
      <x:c r="O9" s="14" t="str">
        <x:v>Published on World Anvil. World Anvil template: Building / Landmark. Local filename/title variant: The Roc's Omelette.</x:v>
      </x:c>
    </x:row>
    <x:row r="10">
      <x:c r="A10" s="13" t="str">
        <x:v>Government Printing Office</x:v>
      </x:c>
      <x:c r="B10" s="13" t="str">
        <x:v>Government print shop</x:v>
      </x:c>
      <x:c r="C10" s="13" t="str">
        <x:v>Yes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Yes</x:v>
      </x:c>
      <x:c r="J10" s="14" t="str">
        <x:v>Settlements\Thumpington\Government Printing Office Article.txt</x:v>
      </x:c>
      <x:c r="K10" s="14" t="str">
        <x:v>Yes</x:v>
      </x:c>
      <x:c r="L10" s="14" t="str">
        <x:v>Settlements\Thumpington\Government Printing Office.png</x:v>
      </x:c>
      <x:c r="M10" s="14" t="str">
        <x:v>Linzi; Eobald; Ivena Rusk; Mara Venn</x:v>
      </x:c>
      <x:c r="N10" s="14" t="str">
        <x:v>Kingmaker Kingdom Turns — 4714; local continuity articles</x:v>
      </x:c>
      <x:c r="O10" s="14" t="str">
        <x:v>The dedicated office completed in 4714 after the recovered press had operated in temporary government rooms. It prints official material, the Lantern and Ledger, and University Press work.</x:v>
      </x:c>
    </x:row>
    <x:row r="11">
      <x:c r="A11" s="13" t="str">
        <x:v>Town hall</x:v>
      </x:c>
      <x:c r="B11" s="13" t="str">
        <x:v>Civic building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Sheet — Urban Grids; Kingmaker Kingdom Turns — 4710; 4712</x:v>
      </x:c>
      <x:c r="O11" s="14" t="str">
        <x:v>Established infrastructure; no dedicated local or World Anvil article identified.</x:v>
      </x:c>
    </x:row>
    <x:row r="12">
      <x:c r="A12" s="13" t="str">
        <x:v>Cemetery</x:v>
      </x:c>
      <x:c r="B12" s="13" t="str">
        <x:v>Cemetery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Sheet — Urban Grids; Kingmaker Kingdom Turns — 4711</x:v>
      </x:c>
      <x:c r="O12" s="14" t="str">
        <x:v>Established infrastructure; no dedicated local or World Anvil article identified.</x:v>
      </x:c>
    </x:row>
    <x:row r="13">
      <x:c r="A13" s="13" t="str">
        <x:v>General store</x:v>
      </x:c>
      <x:c r="B13" s="13" t="str">
        <x:v>Shop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4711</x:v>
      </x:c>
      <x:c r="O13" s="14" t="str">
        <x:v>Established infrastructure; no dedicated local or World Anvil article identified.</x:v>
      </x:c>
    </x:row>
    <x:row r="14">
      <x:c r="A14" s="13" t="str">
        <x:v>Marketplace</x:v>
      </x:c>
      <x:c r="B14" s="13" t="str">
        <x:v>Market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Sheet — Urban Grids; Kingmaker Kingdom Turns — 4711</x:v>
      </x:c>
      <x:c r="O14" s="14" t="str">
        <x:v>Established infrastructure; no dedicated local or World Anvil article identified.</x:v>
      </x:c>
    </x:row>
    <x:row r="15">
      <x:c r="A15" s="13" t="str">
        <x:v>Library</x:v>
      </x:c>
      <x:c r="B15" s="13" t="str">
        <x:v>Library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Sheet — Urban Grids; Kingmaker Kingdom Turns — 4711; 4712</x:v>
      </x:c>
      <x:c r="O15" s="14" t="str">
        <x:v>Established infrastructure; no dedicated local or World Anvil article identified.</x:v>
      </x:c>
    </x:row>
    <x:row r="16">
      <x:c r="A16" s="13" t="str">
        <x:v>Arcanist tower</x:v>
      </x:c>
      <x:c r="B16" s="13" t="str">
        <x:v>Magic building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Sheet — Urban Grids; Kingmaker Kingdom Turns — 4711</x:v>
      </x:c>
      <x:c r="O16" s="14" t="str">
        <x:v>Established infrastructure; no dedicated local or World Anvil article identified.</x:v>
      </x:c>
    </x:row>
    <x:row r="17">
      <x:c r="A17" s="13" t="str">
        <x:v>Inn</x:v>
      </x:c>
      <x:c r="B17" s="13" t="str">
        <x:v>Inn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Sheet — Urban Grids; Kingmaker Kingdom Turns — 4711</x:v>
      </x:c>
      <x:c r="O17" s="14" t="str">
        <x:v>Established infrastructure; no dedicated local or World Anvil article identified.</x:v>
      </x:c>
    </x:row>
    <x:row r="18">
      <x:c r="A18" s="13" t="str">
        <x:v>Bridges</x:v>
      </x:c>
      <x:c r="B18" s="13" t="str">
        <x:v>Infrastructure</x:v>
      </x:c>
      <x:c r="C18" s="13" t="str">
        <x:v>No</x:v>
      </x:c>
      <x:c r="D18" s="13" t="str">
        <x:v>No</x:v>
      </x:c>
      <x:c r="E18" s="16" t="str"/>
      <x:c r="F18" s="15"/>
      <x:c r="G18" s="15" t="str">
        <x:f>IF(F18="","",EDATE(F18,12))</x:f>
      </x:c>
      <x:c r="H18" s="13" t="str">
        <x:f>IF(D18&lt;&gt;"Yes","N/A",IF(F18="","Date missing",IF(G18&lt;TODAY(),"Review due",IF(G18&lt;=TODAY()+90,"Review soon","Current"))))</x:f>
        <x:v>N/A</x:v>
      </x:c>
      <x:c r="I18" s="13" t="str">
        <x:v>No</x:v>
      </x:c>
      <x:c r="J18" s="14" t="str"/>
      <x:c r="K18" s="14" t="str">
        <x:v>No</x:v>
      </x:c>
      <x:c r="L18" s="14" t="str"/>
      <x:c r="M18" s="14" t="str"/>
      <x:c r="N18" s="14" t="str">
        <x:v>Kingmaker Kingdom Turns — 4710; 4711</x:v>
      </x:c>
      <x:c r="O18" s="14" t="str">
        <x:v>Established infrastructure; no dedicated local or World Anvil article identified.</x:v>
      </x:c>
    </x:row>
    <x:row r="19">
      <x:c r="A19" s="13" t="str">
        <x:v>Stone walls</x:v>
      </x:c>
      <x:c r="B19" s="13" t="str">
        <x:v>Fortification</x:v>
      </x:c>
      <x:c r="C19" s="13" t="str">
        <x:v>No</x:v>
      </x:c>
      <x:c r="D19" s="13" t="str">
        <x:v>No</x:v>
      </x:c>
      <x:c r="E19" s="16" t="str"/>
      <x:c r="F19" s="15"/>
      <x:c r="G19" s="15" t="str">
        <x:f>IF(F19="","",EDATE(F19,12))</x:f>
      </x:c>
      <x:c r="H19" s="13" t="str">
        <x:f>IF(D19&lt;&gt;"Yes","N/A",IF(F19="","Date missing",IF(G19&lt;TODAY(),"Review due",IF(G19&lt;=TODAY()+90,"Review soon","Current"))))</x:f>
        <x:v>N/A</x:v>
      </x:c>
      <x:c r="I19" s="13" t="str">
        <x:v>No</x:v>
      </x:c>
      <x:c r="J19" s="14" t="str"/>
      <x:c r="K19" s="14" t="str">
        <x:v>No</x:v>
      </x:c>
      <x:c r="L19" s="14" t="str"/>
      <x:c r="M19" s="14" t="str"/>
      <x:c r="N19" s="14" t="str">
        <x:v>Kingmaker Kingdom Turns — 4712</x:v>
      </x:c>
      <x:c r="O19" s="14" t="str">
        <x:v>Established infrastructure; no dedicated local or World Anvil article identified.</x:v>
      </x:c>
    </x:row>
    <x:row r="20">
      <x:c r="A20" s="13" t="str">
        <x:v>Pier</x:v>
      </x:c>
      <x:c r="B20" s="13" t="str">
        <x:v>Waterfront</x:v>
      </x:c>
      <x:c r="C20" s="13" t="str">
        <x:v>No</x:v>
      </x:c>
      <x:c r="D20" s="13" t="str">
        <x:v>No</x:v>
      </x:c>
      <x:c r="E20" s="16" t="str"/>
      <x:c r="F20" s="15"/>
      <x:c r="G20" s="15" t="str">
        <x:f>IF(F20="","",EDATE(F20,12))</x:f>
      </x:c>
      <x:c r="H20" s="13" t="str">
        <x:f>IF(D20&lt;&gt;"Yes","N/A",IF(F20="","Date missing",IF(G20&lt;TODAY(),"Review due",IF(G20&lt;=TODAY()+90,"Review soon","Current"))))</x:f>
        <x:v>N/A</x:v>
      </x:c>
      <x:c r="I20" s="13" t="str">
        <x:v>No</x:v>
      </x:c>
      <x:c r="J20" s="14" t="str"/>
      <x:c r="K20" s="14" t="str">
        <x:v>No</x:v>
      </x:c>
      <x:c r="L20" s="14" t="str"/>
      <x:c r="M20" s="14" t="str"/>
      <x:c r="N20" s="14" t="str">
        <x:v>Kingmaker Kingdom Turns — 4712</x:v>
      </x:c>
      <x:c r="O20" s="14" t="str">
        <x:v>Established infrastructure; no dedicated local or World Anvil article identified.</x:v>
      </x:c>
    </x:row>
    <x:row r="21">
      <x:c r="A21" s="13" t="str">
        <x:v>Garrison</x:v>
      </x:c>
      <x:c r="B21" s="13" t="str">
        <x:v>Military building</x:v>
      </x:c>
      <x:c r="C21" s="13" t="str">
        <x:v>No</x:v>
      </x:c>
      <x:c r="D21" s="13" t="str">
        <x:v>No</x:v>
      </x:c>
      <x:c r="E21" s="16" t="str"/>
      <x:c r="F21" s="15"/>
      <x:c r="G21" s="15" t="str">
        <x:f>IF(F21="","",EDATE(F21,12))</x:f>
      </x:c>
      <x:c r="H21" s="13" t="str">
        <x:f>IF(D21&lt;&gt;"Yes","N/A",IF(F21="","Date missing",IF(G21&lt;TODAY(),"Review due",IF(G21&lt;=TODAY()+90,"Review soon","Current"))))</x:f>
        <x:v>N/A</x:v>
      </x:c>
      <x:c r="I21" s="13" t="str">
        <x:v>No</x:v>
      </x:c>
      <x:c r="J21" s="14" t="str"/>
      <x:c r="K21" s="14" t="str">
        <x:v>No</x:v>
      </x:c>
      <x:c r="L21" s="14" t="str"/>
      <x:c r="M21" s="14" t="str"/>
      <x:c r="N21" s="14" t="str">
        <x:v>Kingmaker Kingdom Turns — 4712</x:v>
      </x:c>
      <x:c r="O21" s="14" t="str">
        <x:v>Established infrastructure; no dedicated local or World Anvil article identified.</x:v>
      </x:c>
    </x:row>
    <x:row r="22">
      <x:c r="A22" s="13" t="str">
        <x:v>Monument</x:v>
      </x:c>
      <x:c r="B22" s="13" t="str">
        <x:v>Monument</x:v>
      </x:c>
      <x:c r="C22" s="13" t="str">
        <x:v>No</x:v>
      </x:c>
      <x:c r="D22" s="13" t="str">
        <x:v>No</x:v>
      </x:c>
      <x:c r="E22" s="16" t="str"/>
      <x:c r="F22" s="15"/>
      <x:c r="G22" s="15" t="str">
        <x:f>IF(F22="","",EDATE(F22,12))</x:f>
      </x:c>
      <x:c r="H22" s="13" t="str">
        <x:f>IF(D22&lt;&gt;"Yes","N/A",IF(F22="","Date missing",IF(G22&lt;TODAY(),"Review due",IF(G22&lt;=TODAY()+90,"Review soon","Current"))))</x:f>
        <x:v>N/A</x:v>
      </x:c>
      <x:c r="I22" s="13" t="str">
        <x:v>No</x:v>
      </x:c>
      <x:c r="J22" s="14" t="str"/>
      <x:c r="K22" s="14" t="str">
        <x:v>No</x:v>
      </x:c>
      <x:c r="L22" s="14" t="str"/>
      <x:c r="M22" s="14" t="str"/>
      <x:c r="N22" s="14" t="str">
        <x:v>Kingmaker Kingdom Turns — 4712</x:v>
      </x:c>
      <x:c r="O22" s="14" t="str">
        <x:v>Established infrastructure; no dedicated local or World Anvil article identified.</x:v>
      </x:c>
    </x:row>
    <x:row r="23">
      <x:c r="A23" s="13" t="str">
        <x:v>Jail</x:v>
      </x:c>
      <x:c r="B23" s="13" t="str">
        <x:v>Civic building</x:v>
      </x:c>
      <x:c r="C23" s="13" t="str">
        <x:v>No</x:v>
      </x:c>
      <x:c r="D23" s="13" t="str">
        <x:v>No</x:v>
      </x:c>
      <x:c r="E23" s="16" t="str"/>
      <x:c r="F23" s="15"/>
      <x:c r="G23" s="15" t="str">
        <x:f>IF(F23="","",EDATE(F23,12))</x:f>
      </x:c>
      <x:c r="H23" s="13" t="str">
        <x:f>IF(D23&lt;&gt;"Yes","N/A",IF(F23="","Date missing",IF(G23&lt;TODAY(),"Review due",IF(G23&lt;=TODAY()+90,"Review soon","Current"))))</x:f>
        <x:v>N/A</x:v>
      </x:c>
      <x:c r="I23" s="13" t="str">
        <x:v>No</x:v>
      </x:c>
      <x:c r="J23" s="14" t="str"/>
      <x:c r="K23" s="14" t="str">
        <x:v>No</x:v>
      </x:c>
      <x:c r="L23" s="14" t="str"/>
      <x:c r="M23" s="14" t="str"/>
      <x:c r="N23" s="14" t="str">
        <x:v>Kingmaker Kingdom Turns — 4712</x:v>
      </x:c>
      <x:c r="O23" s="14" t="str">
        <x:v>Established infrastructure; no dedicated local or World Anvil article identified.</x:v>
      </x:c>
    </x:row>
    <x:row r="24">
      <x:c r="A24" s="13" t="str">
        <x:v>Sewers</x:v>
      </x:c>
      <x:c r="B24" s="13" t="str">
        <x:v>Infrastructure</x:v>
      </x:c>
      <x:c r="C24" s="13" t="str">
        <x:v>No</x:v>
      </x:c>
      <x:c r="D24" s="13" t="str">
        <x:v>No</x:v>
      </x:c>
      <x:c r="E24" s="16" t="str"/>
      <x:c r="F24" s="15"/>
      <x:c r="G24" s="15" t="str">
        <x:f>IF(F24="","",EDATE(F24,12))</x:f>
      </x:c>
      <x:c r="H24" s="13" t="str">
        <x:f>IF(D24&lt;&gt;"Yes","N/A",IF(F24="","Date missing",IF(G24&lt;TODAY(),"Review due",IF(G24&lt;=TODAY()+90,"Review soon","Current"))))</x:f>
        <x:v>N/A</x:v>
      </x:c>
      <x:c r="I24" s="13" t="str">
        <x:v>No</x:v>
      </x:c>
      <x:c r="J24" s="14" t="str"/>
      <x:c r="K24" s="14" t="str">
        <x:v>No</x:v>
      </x:c>
      <x:c r="L24" s="14" t="str"/>
      <x:c r="M24" s="14" t="str"/>
      <x:c r="N24" s="14" t="str">
        <x:v>Kingmaker Kingdom Turns — 4713</x:v>
      </x:c>
      <x:c r="O24" s="14" t="str">
        <x:v>Established infrastructure; no dedicated local or World Anvil article identified.</x:v>
      </x:c>
    </x:row>
    <x:row r="25">
      <x:c r="A25" s="13" t="str">
        <x:v>Luxury tavern</x:v>
      </x:c>
      <x:c r="B25" s="13" t="str">
        <x:v>Tavern</x:v>
      </x:c>
      <x:c r="C25" s="13" t="str">
        <x:v>No</x:v>
      </x:c>
      <x:c r="D25" s="13" t="str">
        <x:v>No</x:v>
      </x:c>
      <x:c r="E25" s="16" t="str"/>
      <x:c r="F25" s="15"/>
      <x:c r="G25" s="15" t="str">
        <x:f>IF(F25="","",EDATE(F25,12))</x:f>
      </x:c>
      <x:c r="H25" s="13" t="str">
        <x:f>IF(D25&lt;&gt;"Yes","N/A",IF(F25="","Date missing",IF(G25&lt;TODAY(),"Review due",IF(G25&lt;=TODAY()+90,"Review soon","Current"))))</x:f>
        <x:v>N/A</x:v>
      </x:c>
      <x:c r="I25" s="13" t="str">
        <x:v>No</x:v>
      </x:c>
      <x:c r="J25" s="14" t="str"/>
      <x:c r="K25" s="14" t="str">
        <x:v>No</x:v>
      </x:c>
      <x:c r="L25" s="14" t="str"/>
      <x:c r="M25" s="14" t="str"/>
      <x:c r="N25" s="14" t="str">
        <x:v>Kingmaker Kingdom Turns — 4713</x:v>
      </x:c>
      <x:c r="O25" s="14" t="str">
        <x:v>Established infrastructure; no dedicated local or World Anvil article identified.</x:v>
      </x:c>
    </x:row>
    <x:row r="26">
      <x:c r="A26" s="13" t="str">
        <x:v>Trade shop</x:v>
      </x:c>
      <x:c r="B26" s="13" t="str">
        <x:v>Shop</x:v>
      </x:c>
      <x:c r="C26" s="13" t="str">
        <x:v>No</x:v>
      </x:c>
      <x:c r="D26" s="13" t="str">
        <x:v>No</x:v>
      </x:c>
      <x:c r="E26" s="16" t="str"/>
      <x:c r="F26" s="15"/>
      <x:c r="G26" s="15" t="str">
        <x:f>IF(F26="","",EDATE(F26,12))</x:f>
      </x:c>
      <x:c r="H26" s="13" t="str">
        <x:f>IF(D26&lt;&gt;"Yes","N/A",IF(F26="","Date missing",IF(G26&lt;TODAY(),"Review due",IF(G26&lt;=TODAY()+90,"Review soon","Current"))))</x:f>
        <x:v>N/A</x:v>
      </x:c>
      <x:c r="I26" s="13" t="str">
        <x:v>No</x:v>
      </x:c>
      <x:c r="J26" s="14" t="str"/>
      <x:c r="K26" s="14" t="str">
        <x:v>No</x:v>
      </x:c>
      <x:c r="L26" s="14" t="str"/>
      <x:c r="M26" s="14" t="str"/>
      <x:c r="N26" s="14" t="str">
        <x:v>Kingmaker Kingdom Turns — 4713</x:v>
      </x:c>
      <x:c r="O26" s="14" t="str">
        <x:v>Established infrastructure; no dedicated local or World Anvil article identified.</x:v>
      </x:c>
    </x:row>
    <x:row r="27">
      <x:c r="A27" s="13" t="str">
        <x:v>Bakery</x:v>
      </x:c>
      <x:c r="B27" s="13" t="str">
        <x:v>Shop</x:v>
      </x:c>
      <x:c r="C27" s="13" t="str">
        <x:v>No</x:v>
      </x:c>
      <x:c r="D27" s="13" t="str">
        <x:v>No</x:v>
      </x:c>
      <x:c r="E27" s="16" t="str"/>
      <x:c r="F27" s="15"/>
      <x:c r="G27" s="15" t="str">
        <x:f>IF(F27="","",EDATE(F27,12))</x:f>
      </x:c>
      <x:c r="H27" s="13" t="str">
        <x:f>IF(D27&lt;&gt;"Yes","N/A",IF(F27="","Date missing",IF(G27&lt;TODAY(),"Review due",IF(G27&lt;=TODAY()+90,"Review soon","Current"))))</x:f>
        <x:v>N/A</x:v>
      </x:c>
      <x:c r="I27" s="13" t="str">
        <x:v>No</x:v>
      </x:c>
      <x:c r="J27" s="14" t="str"/>
      <x:c r="K27" s="14" t="str">
        <x:v>No</x:v>
      </x:c>
      <x:c r="L27" s="14" t="str"/>
      <x:c r="M27" s="14" t="str"/>
      <x:c r="N27" s="14" t="str">
        <x:v>Kingmaker Kingdom Turns — 4713</x:v>
      </x:c>
      <x:c r="O27" s="14" t="str">
        <x:v>Established infrastructure; no dedicated local or World Anvil article identified.</x:v>
      </x:c>
    </x:row>
    <x:row r="28">
      <x:c r="A28" s="13" t="str">
        <x:v>Magic shop</x:v>
      </x:c>
      <x:c r="B28" s="13" t="str">
        <x:v>Shop</x:v>
      </x:c>
      <x:c r="C28" s="13" t="str">
        <x:v>No</x:v>
      </x:c>
      <x:c r="D28" s="13" t="str">
        <x:v>No</x:v>
      </x:c>
      <x:c r="E28" s="16" t="str"/>
      <x:c r="F28" s="15"/>
      <x:c r="G28" s="15" t="str">
        <x:f>IF(F28="","",EDATE(F28,12))</x:f>
      </x:c>
      <x:c r="H28" s="13" t="str">
        <x:f>IF(D28&lt;&gt;"Yes","N/A",IF(F28="","Date missing",IF(G28&lt;TODAY(),"Review due",IF(G28&lt;=TODAY()+90,"Review soon","Current"))))</x:f>
        <x:v>N/A</x:v>
      </x:c>
      <x:c r="I28" s="13" t="str">
        <x:v>No</x:v>
      </x:c>
      <x:c r="J28" s="14" t="str"/>
      <x:c r="K28" s="14" t="str">
        <x:v>No</x:v>
      </x:c>
      <x:c r="L28" s="14" t="str"/>
      <x:c r="M28" s="14" t="str"/>
      <x:c r="N28" s="14" t="str">
        <x:v>Kingmaker Kingdom Turns — 4713</x:v>
      </x:c>
      <x:c r="O28" s="14" t="str">
        <x:v>Established infrastructure; no dedicated local or World Anvil article identified.</x:v>
      </x:c>
    </x:row>
    <x:row r="29">
      <x:c r="A29" s="13" t="str">
        <x:v>Smithy</x:v>
      </x:c>
      <x:c r="B29" s="13" t="str">
        <x:v>Smithy</x:v>
      </x:c>
      <x:c r="C29" s="13" t="str">
        <x:v>No</x:v>
      </x:c>
      <x:c r="D29" s="13" t="str">
        <x:v>No</x:v>
      </x:c>
      <x:c r="E29" s="16" t="str"/>
      <x:c r="F29" s="15"/>
      <x:c r="G29" s="15" t="str">
        <x:f>IF(F29="","",EDATE(F29,12))</x:f>
      </x:c>
      <x:c r="H29" s="13" t="str">
        <x:f>IF(D29&lt;&gt;"Yes","N/A",IF(F29="","Date missing",IF(G29&lt;TODAY(),"Review due",IF(G29&lt;=TODAY()+90,"Review soon","Current"))))</x:f>
        <x:v>N/A</x:v>
      </x:c>
      <x:c r="I29" s="13" t="str">
        <x:v>No</x:v>
      </x:c>
      <x:c r="J29" s="14" t="str"/>
      <x:c r="K29" s="14" t="str">
        <x:v>No</x:v>
      </x:c>
      <x:c r="L29" s="14" t="str"/>
      <x:c r="M29" s="14" t="str"/>
      <x:c r="N29" s="14" t="str">
        <x:v>Kingmaker Kingdom Turns — 4713</x:v>
      </x:c>
      <x:c r="O29" s="14" t="str">
        <x:v>Established infrastructure; no dedicated local or World Anvil article identified.</x:v>
      </x:c>
    </x:row>
    <x:row r="30">
      <x:c r="A30" s="13" t="str">
        <x:v>Occult shop</x:v>
      </x:c>
      <x:c r="B30" s="13" t="str">
        <x:v>Shop</x:v>
      </x:c>
      <x:c r="C30" s="13" t="str">
        <x:v>No</x:v>
      </x:c>
      <x:c r="D30" s="13" t="str">
        <x:v>No</x:v>
      </x:c>
      <x:c r="E30" s="16" t="str"/>
      <x:c r="F30" s="15"/>
      <x:c r="G30" s="15" t="str">
        <x:f>IF(F30="","",EDATE(F30,12))</x:f>
      </x:c>
      <x:c r="H30" s="13" t="str">
        <x:f>IF(D30&lt;&gt;"Yes","N/A",IF(F30="","Date missing",IF(G30&lt;TODAY(),"Review due",IF(G30&lt;=TODAY()+90,"Review soon","Current"))))</x:f>
        <x:v>N/A</x:v>
      </x:c>
      <x:c r="I30" s="13" t="str">
        <x:v>No</x:v>
      </x:c>
      <x:c r="J30" s="14" t="str"/>
      <x:c r="K30" s="14" t="str">
        <x:v>No</x:v>
      </x:c>
      <x:c r="L30" s="14" t="str"/>
      <x:c r="M30" s="14" t="str"/>
      <x:c r="N30" s="14" t="str">
        <x:v>Kingmaker Kingdom Turns — 4714</x:v>
      </x:c>
      <x:c r="O30" s="14" t="str">
        <x:v>Established infrastructure; no dedicated local or World Anvil article identified.</x:v>
      </x:c>
    </x:row>
    <x:row r="31">
      <x:c r="A31" s="13" t="str">
        <x:v>Hospital</x:v>
      </x:c>
      <x:c r="B31" s="13" t="str">
        <x:v>Hospital</x:v>
      </x:c>
      <x:c r="C31" s="13" t="str">
        <x:v>No</x:v>
      </x:c>
      <x:c r="D31" s="13" t="str">
        <x:v>No</x:v>
      </x:c>
      <x:c r="E31" s="16" t="str"/>
      <x:c r="F31" s="15"/>
      <x:c r="G31" s="15" t="str">
        <x:f>IF(F31="","",EDATE(F31,12))</x:f>
      </x:c>
      <x:c r="H31" s="13" t="str">
        <x:f>IF(D31&lt;&gt;"Yes","N/A",IF(F31="","Date missing",IF(G31&lt;TODAY(),"Review due",IF(G31&lt;=TODAY()+90,"Review soon","Current"))))</x:f>
        <x:v>N/A</x:v>
      </x:c>
      <x:c r="I31" s="13" t="str">
        <x:v>No</x:v>
      </x:c>
      <x:c r="J31" s="14" t="str"/>
      <x:c r="K31" s="14" t="str">
        <x:v>No</x:v>
      </x:c>
      <x:c r="L31" s="14" t="str"/>
      <x:c r="M31" s="14" t="str"/>
      <x:c r="N31" s="14" t="str">
        <x:v>Kingmaker Kingdom Turns — 4714</x:v>
      </x:c>
      <x:c r="O31" s="14" t="str">
        <x:v>Established infrastructure; no dedicated local or World Anvil article identified.</x:v>
      </x:c>
    </x:row>
    <x:row r="32">
      <x:c r="A32" s="13" t="str">
        <x:v>Barracks</x:v>
      </x:c>
      <x:c r="B32" s="13" t="str">
        <x:v>Military building</x:v>
      </x:c>
      <x:c r="C32" s="13" t="str">
        <x:v>No</x:v>
      </x:c>
      <x:c r="D32" s="13" t="str">
        <x:v>No</x:v>
      </x:c>
      <x:c r="E32" s="16" t="str"/>
      <x:c r="F32" s="15"/>
      <x:c r="G32" s="15" t="str">
        <x:f>IF(F32="","",EDATE(F32,12))</x:f>
      </x:c>
      <x:c r="H32" s="13" t="str">
        <x:f>IF(D32&lt;&gt;"Yes","N/A",IF(F32="","Date missing",IF(G32&lt;TODAY(),"Review due",IF(G32&lt;=TODAY()+90,"Review soon","Current"))))</x:f>
        <x:v>N/A</x:v>
      </x:c>
      <x:c r="I32" s="13" t="str">
        <x:v>No</x:v>
      </x:c>
      <x:c r="J32" s="14" t="str"/>
      <x:c r="K32" s="14" t="str">
        <x:v>No</x:v>
      </x:c>
      <x:c r="L32" s="14" t="str"/>
      <x:c r="M32" s="14" t="str"/>
      <x:c r="N32" s="14" t="str">
        <x:v>Kingmaker Kingdom Sheet — Urban Grids snapshot</x:v>
      </x:c>
      <x:c r="O32" s="14" t="str">
        <x:v>Confirmed on the supplied urban grid; no separate kingdom-turn reference captured in this register.</x:v>
      </x:c>
    </x:row>
    <x:row r="33">
      <x:c r="A33" s="13" t="str">
        <x:v>Festival Hall</x:v>
      </x:c>
      <x:c r="B33" s="13" t="str">
        <x:v>Festival Hall</x:v>
      </x:c>
      <x:c r="C33" s="13" t="str">
        <x:v>No</x:v>
      </x:c>
      <x:c r="D33" s="13" t="str">
        <x:v>No</x:v>
      </x:c>
      <x:c r="E33" s="16" t="str"/>
      <x:c r="F33" s="15"/>
      <x:c r="G33" s="15" t="str">
        <x:f>IF(F33="","",EDATE(F33,12))</x:f>
      </x:c>
      <x:c r="H33" s="13" t="str">
        <x:f>IF(D33&lt;&gt;"Yes","N/A",IF(F33="","Date missing",IF(G33&lt;TODAY(),"Review due",IF(G33&lt;=TODAY()+90,"Review soon","Current"))))</x:f>
        <x:v>N/A</x:v>
      </x:c>
      <x:c r="I33" s="13" t="str">
        <x:v>No</x:v>
      </x:c>
      <x:c r="J33" s="14" t="str"/>
      <x:c r="K33" s="14" t="str">
        <x:v>No</x:v>
      </x:c>
      <x:c r="L33" s="14" t="str"/>
      <x:c r="M33" s="14" t="str"/>
      <x:c r="N33" s="14" t="str">
        <x:v>Kingmaker Kingdom Sheet — Urban Grids snapshot</x:v>
      </x:c>
      <x:c r="O33" s="14" t="str">
        <x:v>Confirmed on the supplied urban grid; no separate kingdom-turn reference captured in this register.</x:v>
      </x:c>
    </x:row>
    <x:row r="34">
      <x:c r="A34" s="13" t="str">
        <x:v>Houses</x:v>
      </x:c>
      <x:c r="B34" s="13" t="str">
        <x:v>Residence</x:v>
      </x:c>
      <x:c r="C34" s="13" t="str">
        <x:v>No</x:v>
      </x:c>
      <x:c r="D34" s="13" t="str">
        <x:v>No</x:v>
      </x:c>
      <x:c r="E34" s="16" t="str"/>
      <x:c r="F34" s="15"/>
      <x:c r="G34" s="15" t="str">
        <x:f>IF(F34="","",EDATE(F34,12))</x:f>
      </x:c>
      <x:c r="H34" s="13" t="str">
        <x:f>IF(D34&lt;&gt;"Yes","N/A",IF(F34="","Date missing",IF(G34&lt;TODAY(),"Review due",IF(G34&lt;=TODAY()+90,"Review soon","Current"))))</x:f>
        <x:v>N/A</x:v>
      </x:c>
      <x:c r="I34" s="13" t="str">
        <x:v>No</x:v>
      </x:c>
      <x:c r="J34" s="14" t="str"/>
      <x:c r="K34" s="14" t="str">
        <x:v>No</x:v>
      </x:c>
      <x:c r="L34" s="14" t="str"/>
      <x:c r="M34" s="14" t="str"/>
      <x:c r="N34" s="14" t="str">
        <x:v>Kingmaker Kingdom Sheet — Urban Grids snapshot</x:v>
      </x:c>
      <x:c r="O34" s="14" t="str">
        <x:v>Confirmed on the supplied urban grid; no separate kingdom-turn reference captured in this register.</x:v>
      </x:c>
    </x:row>
    <x:row r="35">
      <x:c r="A35" s="13" t="str">
        <x:v>Mansion</x:v>
      </x:c>
      <x:c r="B35" s="13" t="str">
        <x:v>Residence</x:v>
      </x:c>
      <x:c r="C35" s="13" t="str">
        <x:v>No</x:v>
      </x:c>
      <x:c r="D35" s="13" t="str">
        <x:v>No</x:v>
      </x:c>
      <x:c r="E35" s="16" t="str"/>
      <x:c r="F35" s="15"/>
      <x:c r="G35" s="15" t="str">
        <x:f>IF(F35="","",EDATE(F35,12))</x:f>
      </x:c>
      <x:c r="H35" s="13" t="str">
        <x:f>IF(D35&lt;&gt;"Yes","N/A",IF(F35="","Date missing",IF(G35&lt;TODAY(),"Review due",IF(G35&lt;=TODAY()+90,"Review soon","Current"))))</x:f>
        <x:v>N/A</x:v>
      </x:c>
      <x:c r="I35" s="13" t="str">
        <x:v>No</x:v>
      </x:c>
      <x:c r="J35" s="14" t="str"/>
      <x:c r="K35" s="14" t="str">
        <x:v>No</x:v>
      </x:c>
      <x:c r="L35" s="14" t="str"/>
      <x:c r="M35" s="14" t="str"/>
      <x:c r="N35" s="14" t="str">
        <x:v>Kingmaker Kingdom Sheet — Urban Grids snapshot</x:v>
      </x:c>
      <x:c r="O35" s="14" t="str">
        <x:v>Confirmed on the supplied urban grid; no separate kingdom-turn reference captured in this register.</x:v>
      </x:c>
    </x:row>
    <x:row r="36">
      <x:c r="A36" s="13" t="str">
        <x:v>Mill</x:v>
      </x:c>
      <x:c r="B36" s="13" t="str">
        <x:v>Mill</x:v>
      </x:c>
      <x:c r="C36" s="13" t="str">
        <x:v>No</x:v>
      </x:c>
      <x:c r="D36" s="13" t="str">
        <x:v>No</x:v>
      </x:c>
      <x:c r="E36" s="16" t="str"/>
      <x:c r="F36" s="15"/>
      <x:c r="G36" s="15" t="str">
        <x:f>IF(F36="","",EDATE(F36,12))</x:f>
      </x:c>
      <x:c r="H36" s="13" t="str">
        <x:f>IF(D36&lt;&gt;"Yes","N/A",IF(F36="","Date missing",IF(G36&lt;TODAY(),"Review due",IF(G36&lt;=TODAY()+90,"Review soon","Current"))))</x:f>
        <x:v>N/A</x:v>
      </x:c>
      <x:c r="I36" s="13" t="str">
        <x:v>No</x:v>
      </x:c>
      <x:c r="J36" s="14" t="str"/>
      <x:c r="K36" s="14" t="str">
        <x:v>No</x:v>
      </x:c>
      <x:c r="L36" s="14" t="str"/>
      <x:c r="M36" s="14" t="str"/>
      <x:c r="N36" s="14" t="str">
        <x:v>Kingmaker Kingdom Sheet — Urban Grids snapshot</x:v>
      </x:c>
      <x:c r="O36" s="14" t="str">
        <x:v>Confirmed on the supplied urban grid; no separate kingdom-turn reference captured in this register.</x:v>
      </x:c>
    </x:row>
    <x:row r="37">
      <x:c r="A37" s="13" t="str">
        <x:v>Shrine</x:v>
      </x:c>
      <x:c r="B37" s="13" t="str">
        <x:v>Religious site</x:v>
      </x:c>
      <x:c r="C37" s="13" t="str">
        <x:v>No</x:v>
      </x:c>
      <x:c r="D37" s="13" t="str">
        <x:v>No</x:v>
      </x:c>
      <x:c r="E37" s="16" t="str"/>
      <x:c r="F37" s="15"/>
      <x:c r="G37" s="15" t="str">
        <x:f>IF(F37="","",EDATE(F37,12))</x:f>
      </x:c>
      <x:c r="H37" s="13" t="str">
        <x:f>IF(D37&lt;&gt;"Yes","N/A",IF(F37="","Date missing",IF(G37&lt;TODAY(),"Review due",IF(G37&lt;=TODAY()+90,"Review soon","Current"))))</x:f>
        <x:v>N/A</x:v>
      </x:c>
      <x:c r="I37" s="13" t="str">
        <x:v>No</x:v>
      </x:c>
      <x:c r="J37" s="14" t="str"/>
      <x:c r="K37" s="14" t="str">
        <x:v>No</x:v>
      </x:c>
      <x:c r="L37" s="14" t="str"/>
      <x:c r="M37" s="14" t="str"/>
      <x:c r="N37" s="14" t="str">
        <x:v>Kingmaker Kingdom Sheet — Urban Grids snapshot</x:v>
      </x:c>
      <x:c r="O37" s="14" t="str">
        <x:v>Confirmed on the supplied urban grid; no separate kingdom-turn reference captured in this register.</x:v>
      </x:c>
    </x:row>
    <x:row r="38">
      <x:c r="A38" s="13" t="str">
        <x:v>Tavern, Popular</x:v>
      </x:c>
      <x:c r="B38" s="13" t="str">
        <x:v>Tavern</x:v>
      </x:c>
      <x:c r="C38" s="13" t="str">
        <x:v>No</x:v>
      </x:c>
      <x:c r="D38" s="13" t="str">
        <x:v>No</x:v>
      </x:c>
      <x:c r="E38" s="16" t="str"/>
      <x:c r="F38" s="15"/>
      <x:c r="G38" s="15" t="str">
        <x:f>IF(F38="","",EDATE(F38,12))</x:f>
      </x:c>
      <x:c r="H38" s="13" t="str">
        <x:f>IF(D38&lt;&gt;"Yes","N/A",IF(F38="","Date missing",IF(G38&lt;TODAY(),"Review due",IF(G38&lt;=TODAY()+90,"Review soon","Current"))))</x:f>
        <x:v>N/A</x:v>
      </x:c>
      <x:c r="I38" s="13" t="str">
        <x:v>No</x:v>
      </x:c>
      <x:c r="J38" s="14" t="str"/>
      <x:c r="K38" s="14" t="str">
        <x:v>No</x:v>
      </x:c>
      <x:c r="L38" s="14" t="str"/>
      <x:c r="M38" s="14" t="str"/>
      <x:c r="N38" s="14" t="str">
        <x:v>Kingmaker Kingdom Sheet — Urban Grids snapshot</x:v>
      </x:c>
      <x:c r="O38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38">
    <x:cfRule type="containsText" dxfId="54" priority="1" operator="containsText" text="Review due"/>
    <x:cfRule type="containsText" dxfId="55" priority="2" operator="containsText" text="Review soon"/>
    <x:cfRule type="containsText" dxfId="56" priority="3" operator="containsText" text="Date missing"/>
  </x:conditionalFormatting>
  <x:conditionalFormatting sqref="D5:D38">
    <x:cfRule type="containsText" dxfId="57" priority="4" operator="containsText" text="No"/>
  </x:conditionalFormatting>
  <x:conditionalFormatting sqref="K5:K38">
    <x:cfRule type="containsText" dxfId="58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d976986e1b01460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TOK-NIKRAT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Republic settlement with cyclopean inheritance.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Tok-Nikrat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https://www.worldanvil.com/w/inner-sea-region-bobzap66/a/tok-nikrat-settlement</x:v>
      </x:c>
      <x:c r="F5" s="15" t="n">
        <x:v>46159.666666666664</x:v>
      </x:c>
      <x:c r="G5" s="15" t="n">
        <x:f>IF(F5="","",EDATE(F5,12))</x:f>
        <x:v>46524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The House of Measured Paths and Whispering Step expand its civic and hospitality lore.</x:v>
      </x:c>
    </x:row>
    <x:row r="6">
      <x:c r="A6" s="13" t="str">
        <x:v>House of Measured Paths</x:v>
      </x:c>
      <x:c r="B6" s="13" t="str">
        <x:v>Civic institution</x:v>
      </x:c>
      <x:c r="C6" s="13" t="str">
        <x:v>Yes</x:v>
      </x:c>
      <x:c r="D6" s="13" t="str">
        <x:v>Yes</x:v>
      </x:c>
      <x:c r="E6" s="16" t="str">
        <x:v>https://www.worldanvil.com/w/inner-sea-region-bobzap66/a/house-of-measured-paths-landmark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Settlements\Tok-Nikrat\House of Measured Paths Article.txt</x:v>
      </x:c>
      <x:c r="K6" s="14" t="str">
        <x:v>Yes</x:v>
      </x:c>
      <x:c r="L6" s="14" t="str">
        <x:v>Settlements\Tok-Nikrat\House of Measured Paths.png</x:v>
      </x:c>
      <x:c r="M6" s="14" t="str">
        <x:v>Tok-Tekt; Ka-Kekt; Nik-Takka; Marris Vale; Ses-Tarak</x:v>
      </x:c>
      <x:c r="N6" s="14" t="str">
        <x:v>Local article</x:v>
      </x:c>
      <x:c r="O6" s="14" t="str">
        <x:v>Wayfinding, caches, civic records, and road knowledge. World Anvil template: Building / Landmark.</x:v>
      </x:c>
    </x:row>
    <x:row r="7">
      <x:c r="A7" s="13" t="str">
        <x:v>Whispering Step</x:v>
      </x:c>
      <x:c r="B7" s="13" t="str">
        <x:v>Inn and wayhouse</x:v>
      </x:c>
      <x:c r="C7" s="13" t="str">
        <x:v>Yes</x:v>
      </x:c>
      <x:c r="D7" s="13" t="str">
        <x:v>Yes</x:v>
      </x:c>
      <x:c r="E7" s="16" t="str">
        <x:v>https://www.worldanvil.com/w/inner-sea-region-bobzap66/a/whispering-step-landmark</x:v>
      </x:c>
      <x:c r="F7" s="15" t="n">
        <x:v>46267.666666666664</x:v>
      </x:c>
      <x:c r="G7" s="15" t="n">
        <x:f>IF(F7="","",EDATE(F7,12))</x:f>
        <x:v>46632</x:v>
      </x:c>
      <x:c r="H7" s="13" t="str">
        <x:f>IF(D7&lt;&gt;"Yes","N/A",IF(F7="","Date missing",IF(G7&lt;TODAY(),"Review due",IF(G7&lt;=TODAY()+90,"Review soon","Current"))))</x:f>
        <x:v>Current</x:v>
      </x:c>
      <x:c r="I7" s="13" t="str">
        <x:v>Yes</x:v>
      </x:c>
      <x:c r="J7" s="14" t="str">
        <x:v>Settlements\Tok-Nikrat\The Whispering Step Article.txt</x:v>
      </x:c>
      <x:c r="K7" s="14" t="str">
        <x:v>Yes</x:v>
      </x:c>
      <x:c r="L7" s="14" t="str">
        <x:v>Settlements\Tok-Nikrat\The Whispering Step.png</x:v>
      </x:c>
      <x:c r="M7" s="14" t="str">
        <x:v>Tak-Sel; Ket-Kesh; Eda Wren; Hesh-Tarak</x:v>
      </x:c>
      <x:c r="N7" s="14" t="str">
        <x:v>Local article</x:v>
      </x:c>
      <x:c r="O7" s="14" t="str">
        <x:v>A quiet wayhouse built around listening, warning, and hospitality. World Anvil template: Building / Landmark. Local filename/title variant: The Whispering Step.</x:v>
      </x:c>
    </x:row>
    <x:row r="8">
      <x:c r="A8" s="13" t="str">
        <x:v>Stone walls</x:v>
      </x:c>
      <x:c r="B8" s="13" t="str">
        <x:v>Fortification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Turns — 4714</x:v>
      </x:c>
      <x:c r="O8" s="14" t="str">
        <x:v>Established infrastructure; no dedicated local or World Anvil article identified.</x:v>
      </x:c>
    </x:row>
    <x:row r="9">
      <x:c r="A9" s="13" t="str">
        <x:v>Watchtower</x:v>
      </x:c>
      <x:c r="B9" s="13" t="str">
        <x:v>Fortification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4714</x:v>
      </x:c>
      <x:c r="O9" s="14" t="str">
        <x:v>Established infrastructure; no dedicated local or World Anvil article identified.</x:v>
      </x:c>
    </x:row>
    <x:row r="10">
      <x:c r="A10" s="13" t="str">
        <x:v>Sacred grove</x:v>
      </x:c>
      <x:c r="B10" s="13" t="str">
        <x:v>Religious site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4714</x:v>
      </x:c>
      <x:c r="O10" s="14" t="str">
        <x:v>Established infrastructure; no dedicated local or World Anvil article identified.</x:v>
      </x:c>
    </x:row>
    <x:row r="11">
      <x:c r="A11" s="13" t="str">
        <x:v>Temple</x:v>
      </x:c>
      <x:c r="B11" s="13" t="str">
        <x:v>Religious site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4714</x:v>
      </x:c>
      <x:c r="O11" s="14" t="str">
        <x:v>Established infrastructure; no dedicated local or World Anvil article identified.</x:v>
      </x:c>
    </x:row>
    <x:row r="12">
      <x:c r="A12" s="13" t="str">
        <x:v>Town hall</x:v>
      </x:c>
      <x:c r="B12" s="13" t="str">
        <x:v>Civic building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4714</x:v>
      </x:c>
      <x:c r="O12" s="14" t="str">
        <x:v>Established infrastructure; no dedicated local or World Anvil article identified.</x:v>
      </x:c>
    </x:row>
  </x:sheetData>
  <x:mergeCells>
    <x:mergeCell ref="A1:O1"/>
    <x:mergeCell ref="A2:O2"/>
  </x:mergeCells>
  <x:conditionalFormatting sqref="H5:H12">
    <x:cfRule type="containsText" dxfId="59" priority="1" operator="containsText" text="Review due"/>
    <x:cfRule type="containsText" dxfId="60" priority="2" operator="containsText" text="Review soon"/>
    <x:cfRule type="containsText" dxfId="61" priority="3" operator="containsText" text="Date missing"/>
  </x:conditionalFormatting>
  <x:conditionalFormatting sqref="D5:D12">
    <x:cfRule type="containsText" dxfId="62" priority="4" operator="containsText" text="No"/>
  </x:conditionalFormatting>
  <x:conditionalFormatting sqref="K5:K12">
    <x:cfRule type="containsText" dxfId="63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ccdcdb763f0847c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VARNHOLD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Eastern town incorporated into the Republic.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Varnhold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https://www.worldanvil.com/w/inner-sea-region-bobzap66/a/varnhold-settlement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Delver's Brewery is rooted in the Kingmaker source material and locally expanded.</x:v>
      </x:c>
    </x:row>
    <x:row r="6">
      <x:c r="A6" s="13" t="str">
        <x:v>Delver's Brewery</x:v>
      </x:c>
      <x:c r="B6" s="13" t="str">
        <x:v>Brewery</x:v>
      </x:c>
      <x:c r="C6" s="13" t="str">
        <x:v>Yes</x:v>
      </x:c>
      <x:c r="D6" s="13" t="str">
        <x:v>Yes</x:v>
      </x:c>
      <x:c r="E6" s="16" t="str">
        <x:v>https://www.worldanvil.com/w/inner-sea-region-bobzap66/a/delver-s-brewery-landmark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Settlements\Varnhold\Delver's Brewery Article.txt</x:v>
      </x:c>
      <x:c r="K6" s="14" t="str">
        <x:v>Yes</x:v>
      </x:c>
      <x:c r="L6" s="14" t="str">
        <x:v>Settlements\Varnhold\Delver's Brewery.png</x:v>
      </x:c>
      <x:c r="M6" s="14" t="str">
        <x:v>Durnan Stoutbeard</x:v>
      </x:c>
      <x:c r="N6" s="14" t="str">
        <x:v>Kingmaker sourcebook; local expansion; Kingmaker Kingdom Sheet — Urban Grids (Brewery)</x:v>
      </x:c>
      <x:c r="O6" s="14" t="str">
        <x:v>Existing Kingmaker location expanded into a full local article. World Anvil template: Building / Landmark. Mechanically confirmed on the supplied urban grid as Brewery.</x:v>
      </x:c>
    </x:row>
    <x:row r="7">
      <x:c r="A7" s="13" t="str">
        <x:v>Stock yard</x:v>
      </x:c>
      <x:c r="B7" s="13" t="str">
        <x:v>Trade yard</x:v>
      </x:c>
      <x:c r="C7" s="13" t="str">
        <x:v>No</x:v>
      </x:c>
      <x:c r="D7" s="13" t="str">
        <x:v>No</x:v>
      </x:c>
      <x:c r="E7" s="16" t="str"/>
      <x:c r="F7" s="15"/>
      <x:c r="G7" s="15" t="str">
        <x:f>IF(F7="","",EDATE(F7,12))</x:f>
      </x:c>
      <x:c r="H7" s="13" t="str">
        <x:f>IF(D7&lt;&gt;"Yes","N/A",IF(F7="","Date missing",IF(G7&lt;TODAY(),"Review due",IF(G7&lt;=TODAY()+90,"Review soon","Current"))))</x:f>
        <x:v>N/A</x:v>
      </x:c>
      <x:c r="I7" s="13" t="str">
        <x:v>No</x:v>
      </x:c>
      <x:c r="J7" s="14" t="str"/>
      <x:c r="K7" s="14" t="str">
        <x:v>No</x:v>
      </x:c>
      <x:c r="L7" s="14" t="str"/>
      <x:c r="M7" s="14" t="str"/>
      <x:c r="N7" s="14" t="str">
        <x:v>Kingmaker Kingdom Turns — 4712</x:v>
      </x:c>
      <x:c r="O7" s="14" t="str">
        <x:v>Established infrastructure; no dedicated local or World Anvil article identified.</x:v>
      </x:c>
    </x:row>
    <x:row r="8">
      <x:c r="A8" s="13" t="str">
        <x:v>Quarry</x:v>
      </x:c>
      <x:c r="B8" s="13" t="str">
        <x:v>Quarry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Turns — 4712</x:v>
      </x:c>
      <x:c r="O8" s="14" t="str">
        <x:v>Established infrastructure; no dedicated local or World Anvil article identified.</x:v>
      </x:c>
    </x:row>
    <x:row r="9">
      <x:c r="A9" s="13" t="str">
        <x:v>Marketplace</x:v>
      </x:c>
      <x:c r="B9" s="13" t="str">
        <x:v>Market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4713</x:v>
      </x:c>
      <x:c r="O9" s="14" t="str">
        <x:v>Established infrastructure; no dedicated local or World Anvil article identified.</x:v>
      </x:c>
    </x:row>
    <x:row r="10">
      <x:c r="A10" s="13" t="str">
        <x:v>Walls</x:v>
      </x:c>
      <x:c r="B10" s="13" t="str">
        <x:v>Fortification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4713</x:v>
      </x:c>
      <x:c r="O10" s="14" t="str">
        <x:v>Established infrastructure; no dedicated local or World Anvil article identified.</x:v>
      </x:c>
    </x:row>
    <x:row r="11">
      <x:c r="A11" s="13" t="str">
        <x:v>Herbalist</x:v>
      </x:c>
      <x:c r="B11" s="13" t="str">
        <x:v>Shop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4713</x:v>
      </x:c>
      <x:c r="O11" s="14" t="str">
        <x:v>Established infrastructure; no dedicated local or World Anvil article identified.</x:v>
      </x:c>
    </x:row>
    <x:row r="12">
      <x:c r="A12" s="13" t="str">
        <x:v>Park</x:v>
      </x:c>
      <x:c r="B12" s="13" t="str">
        <x:v>Park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4713</x:v>
      </x:c>
      <x:c r="O12" s="14" t="str">
        <x:v>Established infrastructure; no dedicated local or World Anvil article identified.</x:v>
      </x:c>
    </x:row>
    <x:row r="13">
      <x:c r="A13" s="13" t="str">
        <x:v>Library</x:v>
      </x:c>
      <x:c r="B13" s="13" t="str">
        <x:v>Library</x:v>
      </x:c>
      <x:c r="C13" s="13" t="str">
        <x:v>No</x:v>
      </x:c>
      <x:c r="D13" s="13" t="str">
        <x:v>No</x:v>
      </x:c>
      <x:c r="E13" s="16" t="str"/>
      <x:c r="F13" s="15"/>
      <x:c r="G13" s="15" t="str">
        <x:f>IF(F13="","",EDATE(F13,12))</x:f>
      </x:c>
      <x:c r="H13" s="13" t="str">
        <x:f>IF(D13&lt;&gt;"Yes","N/A",IF(F13="","Date missing",IF(G13&lt;TODAY(),"Review due",IF(G13&lt;=TODAY()+90,"Review soon","Current"))))</x:f>
        <x:v>N/A</x:v>
      </x:c>
      <x:c r="I13" s="13" t="str">
        <x:v>No</x:v>
      </x:c>
      <x:c r="J13" s="14" t="str"/>
      <x:c r="K13" s="14" t="str">
        <x:v>No</x:v>
      </x:c>
      <x:c r="L13" s="14" t="str"/>
      <x:c r="M13" s="14" t="str"/>
      <x:c r="N13" s="14" t="str">
        <x:v>Kingmaker Kingdom Turns — 4713</x:v>
      </x:c>
      <x:c r="O13" s="14" t="str">
        <x:v>Established infrastructure; no dedicated local or World Anvil article identified.</x:v>
      </x:c>
    </x:row>
    <x:row r="14">
      <x:c r="A14" s="13" t="str">
        <x:v>Sewers</x:v>
      </x:c>
      <x:c r="B14" s="13" t="str">
        <x:v>Infrastructure</x:v>
      </x:c>
      <x:c r="C14" s="13" t="str">
        <x:v>No</x:v>
      </x:c>
      <x:c r="D14" s="13" t="str">
        <x:v>No</x:v>
      </x:c>
      <x:c r="E14" s="16" t="str"/>
      <x:c r="F14" s="15"/>
      <x:c r="G14" s="15" t="str">
        <x:f>IF(F14="","",EDATE(F14,12))</x:f>
      </x:c>
      <x:c r="H14" s="13" t="str">
        <x:f>IF(D14&lt;&gt;"Yes","N/A",IF(F14="","Date missing",IF(G14&lt;TODAY(),"Review due",IF(G14&lt;=TODAY()+90,"Review soon","Current"))))</x:f>
        <x:v>N/A</x:v>
      </x:c>
      <x:c r="I14" s="13" t="str">
        <x:v>No</x:v>
      </x:c>
      <x:c r="J14" s="14" t="str"/>
      <x:c r="K14" s="14" t="str">
        <x:v>No</x:v>
      </x:c>
      <x:c r="L14" s="14" t="str"/>
      <x:c r="M14" s="14" t="str"/>
      <x:c r="N14" s="14" t="str">
        <x:v>Kingmaker Kingdom Turns — 4713</x:v>
      </x:c>
      <x:c r="O14" s="14" t="str">
        <x:v>Established infrastructure; no dedicated local or World Anvil article identified.</x:v>
      </x:c>
    </x:row>
    <x:row r="15">
      <x:c r="A15" s="13" t="str">
        <x:v>Occult shop</x:v>
      </x:c>
      <x:c r="B15" s="13" t="str">
        <x:v>Shop</x:v>
      </x:c>
      <x:c r="C15" s="13" t="str">
        <x:v>No</x:v>
      </x:c>
      <x:c r="D15" s="13" t="str">
        <x:v>No</x:v>
      </x:c>
      <x:c r="E15" s="16" t="str"/>
      <x:c r="F15" s="15"/>
      <x:c r="G15" s="15" t="str">
        <x:f>IF(F15="","",EDATE(F15,12))</x:f>
      </x:c>
      <x:c r="H15" s="13" t="str">
        <x:f>IF(D15&lt;&gt;"Yes","N/A",IF(F15="","Date missing",IF(G15&lt;TODAY(),"Review due",IF(G15&lt;=TODAY()+90,"Review soon","Current"))))</x:f>
        <x:v>N/A</x:v>
      </x:c>
      <x:c r="I15" s="13" t="str">
        <x:v>No</x:v>
      </x:c>
      <x:c r="J15" s="14" t="str"/>
      <x:c r="K15" s="14" t="str">
        <x:v>No</x:v>
      </x:c>
      <x:c r="L15" s="14" t="str"/>
      <x:c r="M15" s="14" t="str"/>
      <x:c r="N15" s="14" t="str">
        <x:v>Kingmaker Kingdom Turns — 4714</x:v>
      </x:c>
      <x:c r="O15" s="14" t="str">
        <x:v>Established infrastructure; no dedicated local or World Anvil article identified.</x:v>
      </x:c>
    </x:row>
    <x:row r="16">
      <x:c r="A16" s="13" t="str">
        <x:v>Monument</x:v>
      </x:c>
      <x:c r="B16" s="13" t="str">
        <x:v>Monument</x:v>
      </x:c>
      <x:c r="C16" s="13" t="str">
        <x:v>No</x:v>
      </x:c>
      <x:c r="D16" s="13" t="str">
        <x:v>No</x:v>
      </x:c>
      <x:c r="E16" s="16" t="str"/>
      <x:c r="F16" s="15"/>
      <x:c r="G16" s="15" t="str">
        <x:f>IF(F16="","",EDATE(F16,12))</x:f>
      </x:c>
      <x:c r="H16" s="13" t="str">
        <x:f>IF(D16&lt;&gt;"Yes","N/A",IF(F16="","Date missing",IF(G16&lt;TODAY(),"Review due",IF(G16&lt;=TODAY()+90,"Review soon","Current"))))</x:f>
        <x:v>N/A</x:v>
      </x:c>
      <x:c r="I16" s="13" t="str">
        <x:v>No</x:v>
      </x:c>
      <x:c r="J16" s="14" t="str"/>
      <x:c r="K16" s="14" t="str">
        <x:v>No</x:v>
      </x:c>
      <x:c r="L16" s="14" t="str"/>
      <x:c r="M16" s="14" t="str"/>
      <x:c r="N16" s="14" t="str">
        <x:v>Kingmaker Kingdom Turns — 4714</x:v>
      </x:c>
      <x:c r="O16" s="14" t="str">
        <x:v>Established infrastructure; no dedicated local or World Anvil article identified.</x:v>
      </x:c>
    </x:row>
    <x:row r="17">
      <x:c r="A17" s="13" t="str">
        <x:v>Shrine</x:v>
      </x:c>
      <x:c r="B17" s="13" t="str">
        <x:v>Religious site</x:v>
      </x:c>
      <x:c r="C17" s="13" t="str">
        <x:v>No</x:v>
      </x:c>
      <x:c r="D17" s="13" t="str">
        <x:v>No</x:v>
      </x:c>
      <x:c r="E17" s="16" t="str"/>
      <x:c r="F17" s="15"/>
      <x:c r="G17" s="15" t="str">
        <x:f>IF(F17="","",EDATE(F17,12))</x:f>
      </x:c>
      <x:c r="H17" s="13" t="str">
        <x:f>IF(D17&lt;&gt;"Yes","N/A",IF(F17="","Date missing",IF(G17&lt;TODAY(),"Review due",IF(G17&lt;=TODAY()+90,"Review soon","Current"))))</x:f>
        <x:v>N/A</x:v>
      </x:c>
      <x:c r="I17" s="13" t="str">
        <x:v>No</x:v>
      </x:c>
      <x:c r="J17" s="14" t="str"/>
      <x:c r="K17" s="14" t="str">
        <x:v>No</x:v>
      </x:c>
      <x:c r="L17" s="14" t="str"/>
      <x:c r="M17" s="14" t="str"/>
      <x:c r="N17" s="14" t="str">
        <x:v>Kingmaker Kingdom Sheet — Urban Grids; Kingmaker Kingdom Turns — 4714</x:v>
      </x:c>
      <x:c r="O17" s="14" t="str">
        <x:v>Established infrastructure; no dedicated local or World Anvil article identified.</x:v>
      </x:c>
    </x:row>
    <x:row r="18">
      <x:c r="A18" s="13" t="str">
        <x:v>Houses</x:v>
      </x:c>
      <x:c r="B18" s="13" t="str">
        <x:v>Residence</x:v>
      </x:c>
      <x:c r="C18" s="13" t="str">
        <x:v>No</x:v>
      </x:c>
      <x:c r="D18" s="13" t="str">
        <x:v>No</x:v>
      </x:c>
      <x:c r="E18" s="16" t="str"/>
      <x:c r="F18" s="15"/>
      <x:c r="G18" s="15" t="str">
        <x:f>IF(F18="","",EDATE(F18,12))</x:f>
      </x:c>
      <x:c r="H18" s="13" t="str">
        <x:f>IF(D18&lt;&gt;"Yes","N/A",IF(F18="","Date missing",IF(G18&lt;TODAY(),"Review due",IF(G18&lt;=TODAY()+90,"Review soon","Current"))))</x:f>
        <x:v>N/A</x:v>
      </x:c>
      <x:c r="I18" s="13" t="str">
        <x:v>No</x:v>
      </x:c>
      <x:c r="J18" s="14" t="str"/>
      <x:c r="K18" s="14" t="str">
        <x:v>No</x:v>
      </x:c>
      <x:c r="L18" s="14" t="str"/>
      <x:c r="M18" s="14" t="str"/>
      <x:c r="N18" s="14" t="str">
        <x:v>Kingmaker Kingdom Sheet — Urban Grids snapshot</x:v>
      </x:c>
      <x:c r="O18" s="14" t="str">
        <x:v>Confirmed on the supplied urban grid; no separate kingdom-turn reference captured in this register.</x:v>
      </x:c>
    </x:row>
    <x:row r="19">
      <x:c r="A19" s="13" t="str">
        <x:v>Inn</x:v>
      </x:c>
      <x:c r="B19" s="13" t="str">
        <x:v>Inn</x:v>
      </x:c>
      <x:c r="C19" s="13" t="str">
        <x:v>No</x:v>
      </x:c>
      <x:c r="D19" s="13" t="str">
        <x:v>No</x:v>
      </x:c>
      <x:c r="E19" s="16" t="str"/>
      <x:c r="F19" s="15"/>
      <x:c r="G19" s="15" t="str">
        <x:f>IF(F19="","",EDATE(F19,12))</x:f>
      </x:c>
      <x:c r="H19" s="13" t="str">
        <x:f>IF(D19&lt;&gt;"Yes","N/A",IF(F19="","Date missing",IF(G19&lt;TODAY(),"Review due",IF(G19&lt;=TODAY()+90,"Review soon","Current"))))</x:f>
        <x:v>N/A</x:v>
      </x:c>
      <x:c r="I19" s="13" t="str">
        <x:v>No</x:v>
      </x:c>
      <x:c r="J19" s="14" t="str"/>
      <x:c r="K19" s="14" t="str">
        <x:v>No</x:v>
      </x:c>
      <x:c r="L19" s="14" t="str"/>
      <x:c r="M19" s="14" t="str"/>
      <x:c r="N19" s="14" t="str">
        <x:v>Kingmaker Kingdom Sheet — Urban Grids snapshot</x:v>
      </x:c>
      <x:c r="O19" s="14" t="str">
        <x:v>Confirmed on the supplied urban grid; no separate kingdom-turn reference captured in this register.</x:v>
      </x:c>
    </x:row>
    <x:row r="20">
      <x:c r="A20" s="13" t="str">
        <x:v>Smithy</x:v>
      </x:c>
      <x:c r="B20" s="13" t="str">
        <x:v>Smithy</x:v>
      </x:c>
      <x:c r="C20" s="13" t="str">
        <x:v>No</x:v>
      </x:c>
      <x:c r="D20" s="13" t="str">
        <x:v>No</x:v>
      </x:c>
      <x:c r="E20" s="16" t="str"/>
      <x:c r="F20" s="15"/>
      <x:c r="G20" s="15" t="str">
        <x:f>IF(F20="","",EDATE(F20,12))</x:f>
      </x:c>
      <x:c r="H20" s="13" t="str">
        <x:f>IF(D20&lt;&gt;"Yes","N/A",IF(F20="","Date missing",IF(G20&lt;TODAY(),"Review due",IF(G20&lt;=TODAY()+90,"Review soon","Current"))))</x:f>
        <x:v>N/A</x:v>
      </x:c>
      <x:c r="I20" s="13" t="str">
        <x:v>No</x:v>
      </x:c>
      <x:c r="J20" s="14" t="str"/>
      <x:c r="K20" s="14" t="str">
        <x:v>No</x:v>
      </x:c>
      <x:c r="L20" s="14" t="str"/>
      <x:c r="M20" s="14" t="str"/>
      <x:c r="N20" s="14" t="str">
        <x:v>Kingmaker Kingdom Sheet — Urban Grids snapshot</x:v>
      </x:c>
      <x:c r="O20" s="14" t="str">
        <x:v>Confirmed on the supplied urban grid; no separate kingdom-turn reference captured in this register.</x:v>
      </x:c>
    </x:row>
    <x:row r="21">
      <x:c r="A21" s="13" t="str">
        <x:v>Stable</x:v>
      </x:c>
      <x:c r="B21" s="13" t="str">
        <x:v>Stable</x:v>
      </x:c>
      <x:c r="C21" s="13" t="str">
        <x:v>No</x:v>
      </x:c>
      <x:c r="D21" s="13" t="str">
        <x:v>No</x:v>
      </x:c>
      <x:c r="E21" s="16" t="str"/>
      <x:c r="F21" s="15"/>
      <x:c r="G21" s="15" t="str">
        <x:f>IF(F21="","",EDATE(F21,12))</x:f>
      </x:c>
      <x:c r="H21" s="13" t="str">
        <x:f>IF(D21&lt;&gt;"Yes","N/A",IF(F21="","Date missing",IF(G21&lt;TODAY(),"Review due",IF(G21&lt;=TODAY()+90,"Review soon","Current"))))</x:f>
        <x:v>N/A</x:v>
      </x:c>
      <x:c r="I21" s="13" t="str">
        <x:v>No</x:v>
      </x:c>
      <x:c r="J21" s="14" t="str"/>
      <x:c r="K21" s="14" t="str">
        <x:v>No</x:v>
      </x:c>
      <x:c r="L21" s="14" t="str"/>
      <x:c r="M21" s="14" t="str"/>
      <x:c r="N21" s="14" t="str">
        <x:v>Kingmaker Kingdom Sheet — Urban Grids snapshot</x:v>
      </x:c>
      <x:c r="O21" s="14" t="str">
        <x:v>Confirmed on the supplied urban grid; no separate kingdom-turn reference captured in this register.</x:v>
      </x:c>
    </x:row>
    <x:row r="22">
      <x:c r="A22" s="13" t="str">
        <x:v>Tannery</x:v>
      </x:c>
      <x:c r="B22" s="13" t="str">
        <x:v>Tannery</x:v>
      </x:c>
      <x:c r="C22" s="13" t="str">
        <x:v>No</x:v>
      </x:c>
      <x:c r="D22" s="13" t="str">
        <x:v>No</x:v>
      </x:c>
      <x:c r="E22" s="16" t="str"/>
      <x:c r="F22" s="15"/>
      <x:c r="G22" s="15" t="str">
        <x:f>IF(F22="","",EDATE(F22,12))</x:f>
      </x:c>
      <x:c r="H22" s="13" t="str">
        <x:f>IF(D22&lt;&gt;"Yes","N/A",IF(F22="","Date missing",IF(G22&lt;TODAY(),"Review due",IF(G22&lt;=TODAY()+90,"Review soon","Current"))))</x:f>
        <x:v>N/A</x:v>
      </x:c>
      <x:c r="I22" s="13" t="str">
        <x:v>No</x:v>
      </x:c>
      <x:c r="J22" s="14" t="str"/>
      <x:c r="K22" s="14" t="str">
        <x:v>No</x:v>
      </x:c>
      <x:c r="L22" s="14" t="str"/>
      <x:c r="M22" s="14" t="str"/>
      <x:c r="N22" s="14" t="str">
        <x:v>Kingmaker Kingdom Sheet — Urban Grids snapshot</x:v>
      </x:c>
      <x:c r="O22" s="14" t="str">
        <x:v>Confirmed on the supplied urban grid; no separate kingdom-turn reference captured in this register.</x:v>
      </x:c>
    </x:row>
    <x:row r="23">
      <x:c r="A23" s="13" t="str">
        <x:v>Town Hall</x:v>
      </x:c>
      <x:c r="B23" s="13" t="str">
        <x:v>Civic building</x:v>
      </x:c>
      <x:c r="C23" s="13" t="str">
        <x:v>No</x:v>
      </x:c>
      <x:c r="D23" s="13" t="str">
        <x:v>No</x:v>
      </x:c>
      <x:c r="E23" s="16" t="str"/>
      <x:c r="F23" s="15"/>
      <x:c r="G23" s="15" t="str">
        <x:f>IF(F23="","",EDATE(F23,12))</x:f>
      </x:c>
      <x:c r="H23" s="13" t="str">
        <x:f>IF(D23&lt;&gt;"Yes","N/A",IF(F23="","Date missing",IF(G23&lt;TODAY(),"Review due",IF(G23&lt;=TODAY()+90,"Review soon","Current"))))</x:f>
        <x:v>N/A</x:v>
      </x:c>
      <x:c r="I23" s="13" t="str">
        <x:v>No</x:v>
      </x:c>
      <x:c r="J23" s="14" t="str"/>
      <x:c r="K23" s="14" t="str">
        <x:v>No</x:v>
      </x:c>
      <x:c r="L23" s="14" t="str"/>
      <x:c r="M23" s="14" t="str"/>
      <x:c r="N23" s="14" t="str">
        <x:v>Kingmaker Kingdom Sheet — Urban Grids snapshot</x:v>
      </x:c>
      <x:c r="O23" s="14" t="str">
        <x:v>Confirmed on the supplied urban grid; no separate kingdom-turn reference captured in this register.</x:v>
      </x:c>
    </x:row>
    <x:row r="24">
      <x:c r="A24" s="13" t="str">
        <x:v>Trade Shop</x:v>
      </x:c>
      <x:c r="B24" s="13" t="str">
        <x:v>Shop</x:v>
      </x:c>
      <x:c r="C24" s="13" t="str">
        <x:v>No</x:v>
      </x:c>
      <x:c r="D24" s="13" t="str">
        <x:v>No</x:v>
      </x:c>
      <x:c r="E24" s="16" t="str"/>
      <x:c r="F24" s="15"/>
      <x:c r="G24" s="15" t="str">
        <x:f>IF(F24="","",EDATE(F24,12))</x:f>
      </x:c>
      <x:c r="H24" s="13" t="str">
        <x:f>IF(D24&lt;&gt;"Yes","N/A",IF(F24="","Date missing",IF(G24&lt;TODAY(),"Review due",IF(G24&lt;=TODAY()+90,"Review soon","Current"))))</x:f>
        <x:v>N/A</x:v>
      </x:c>
      <x:c r="I24" s="13" t="str">
        <x:v>No</x:v>
      </x:c>
      <x:c r="J24" s="14" t="str"/>
      <x:c r="K24" s="14" t="str">
        <x:v>No</x:v>
      </x:c>
      <x:c r="L24" s="14" t="str"/>
      <x:c r="M24" s="14" t="str"/>
      <x:c r="N24" s="14" t="str">
        <x:v>Kingmaker Kingdom Sheet — Urban Grids snapshot</x:v>
      </x:c>
      <x:c r="O24" s="14" t="str">
        <x:v>Confirmed on the supplied urban grid; no separate kingdom-turn reference captured in this register.</x:v>
      </x:c>
    </x:row>
  </x:sheetData>
  <x:mergeCells>
    <x:mergeCell ref="A1:O1"/>
    <x:mergeCell ref="A2:O2"/>
  </x:mergeCells>
  <x:conditionalFormatting sqref="H5:H24">
    <x:cfRule type="containsText" dxfId="64" priority="1" operator="containsText" text="Review due"/>
    <x:cfRule type="containsText" dxfId="65" priority="2" operator="containsText" text="Review soon"/>
    <x:cfRule type="containsText" dxfId="66" priority="3" operator="containsText" text="Date missing"/>
  </x:conditionalFormatting>
  <x:conditionalFormatting sqref="D5:D24">
    <x:cfRule type="containsText" dxfId="67" priority="4" operator="containsText" text="No"/>
  </x:conditionalFormatting>
  <x:conditionalFormatting sqref="K5:K24">
    <x:cfRule type="containsText" dxfId="68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9b7ddb75da5a432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WILLOWFEN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Wetland settlement. Named locations are separated from generic infrastructure preserved in the kingdom-turn records.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2" t="str">
        <x:v>Location / Feature</x:v>
      </x:c>
      <x:c r="B4" s="12" t="str">
        <x:v>Type</x:v>
      </x:c>
      <x:c r="C4" s="12" t="str">
        <x:v>Named?</x:v>
      </x:c>
      <x:c r="D4" s="12" t="str">
        <x:v>Dedicated WA Article?</x:v>
      </x:c>
      <x:c r="E4" s="12" t="str">
        <x:v>WA URL</x:v>
      </x:c>
      <x:c r="F4" s="12" t="str">
        <x:v>WA Last Updated</x:v>
      </x:c>
      <x:c r="G4" s="12" t="str">
        <x:v>Next Review Due</x:v>
      </x:c>
      <x:c r="H4" s="12" t="str">
        <x:v>Review Status</x:v>
      </x:c>
      <x:c r="I4" s="12" t="str">
        <x:v>Local Article?</x:v>
      </x:c>
      <x:c r="J4" s="12" t="str">
        <x:v>Local Article File</x:v>
      </x:c>
      <x:c r="K4" s="12" t="str">
        <x:v>Artwork?</x:v>
      </x:c>
      <x:c r="L4" s="12" t="str">
        <x:v>Artwork File</x:v>
      </x:c>
      <x:c r="M4" s="12" t="str">
        <x:v>Key NPCs</x:v>
      </x:c>
      <x:c r="N4" s="12" t="str">
        <x:v>Source</x:v>
      </x:c>
      <x:c r="O4" s="12" t="str">
        <x:v>Notes</x:v>
      </x:c>
    </x:row>
    <x:row r="5">
      <x:c r="A5" s="13" t="str">
        <x:v>Willowfen</x:v>
      </x:c>
      <x:c r="B5" s="13" t="str">
        <x:v>Settlement</x:v>
      </x:c>
      <x:c r="C5" s="13" t="str">
        <x:v>Yes</x:v>
      </x:c>
      <x:c r="D5" s="13" t="str">
        <x:v>Yes</x:v>
      </x:c>
      <x:c r="E5" s="16" t="str">
        <x:v>https://www.worldanvil.com/w/inner-sea-region-bobzap66/a/willowfen-settlement</x:v>
      </x:c>
      <x:c r="F5" s="15" t="n">
        <x:v>46001.708333333336</x:v>
      </x:c>
      <x:c r="G5" s="15" t="n">
        <x:f>IF(F5="","",EDATE(F5,12))</x:f>
        <x:v>46366</x:v>
      </x:c>
      <x:c r="H5" s="13" t="str">
        <x:f>IF(D5&lt;&gt;"Yes","N/A",IF(F5="","Date missing",IF(G5&lt;TODAY(),"Review due",IF(G5&lt;=TODAY()+90,"Review soon","Current"))))</x:f>
        <x:v>Current</x:v>
      </x:c>
      <x:c r="I5" s="13" t="str">
        <x:v>No</x:v>
      </x:c>
      <x:c r="J5" s="14" t="str"/>
      <x:c r="K5" s="14" t="str">
        <x:v>No</x:v>
      </x:c>
      <x:c r="L5" s="14" t="str"/>
      <x:c r="M5" s="14" t="str"/>
      <x:c r="N5" s="14" t="str">
        <x:v>World Anvil settlement article</x:v>
      </x:c>
      <x:c r="O5" s="14" t="str">
        <x:v>The Silver Reed and Willowfen General develop player-introduced ideas without making one adventurer the settlement's focus.</x:v>
      </x:c>
    </x:row>
    <x:row r="6">
      <x:c r="A6" s="13" t="str">
        <x:v>Willowfen General</x:v>
      </x:c>
      <x:c r="B6" s="13" t="str">
        <x:v>General store</x:v>
      </x:c>
      <x:c r="C6" s="13" t="str">
        <x:v>Yes</x:v>
      </x:c>
      <x:c r="D6" s="13" t="str">
        <x:v>Yes</x:v>
      </x:c>
      <x:c r="E6" s="16" t="str">
        <x:v>https://www.worldanvil.com/w/inner-sea-region-bobzap66/a/willowfen-general-landmark</x:v>
      </x:c>
      <x:c r="F6" s="15" t="n">
        <x:v>46267.666666666664</x:v>
      </x:c>
      <x:c r="G6" s="15" t="n">
        <x:f>IF(F6="","",EDATE(F6,12))</x:f>
        <x:v>46632</x:v>
      </x:c>
      <x:c r="H6" s="13" t="str">
        <x:f>IF(D6&lt;&gt;"Yes","N/A",IF(F6="","Date missing",IF(G6&lt;TODAY(),"Review due",IF(G6&lt;=TODAY()+90,"Review soon","Current"))))</x:f>
        <x:v>Current</x:v>
      </x:c>
      <x:c r="I6" s="13" t="str">
        <x:v>Yes</x:v>
      </x:c>
      <x:c r="J6" s="14" t="str">
        <x:v>Settlements\Willowfen\Willowfen General Article.txt</x:v>
      </x:c>
      <x:c r="K6" s="14" t="str">
        <x:v>Yes</x:v>
      </x:c>
      <x:c r="L6" s="14" t="str">
        <x:v>Settlements\Willowfen\Willowfen General.png</x:v>
      </x:c>
      <x:c r="M6" s="14" t="str">
        <x:v>Mara Olegsdottir</x:v>
      </x:c>
      <x:c r="N6" s="14" t="str">
        <x:v>Player-source idea; local expansion</x:v>
      </x:c>
      <x:c r="O6" s="14" t="str">
        <x:v>Provisioning hub for wetland travel. World Anvil template: Building / Landmark.</x:v>
      </x:c>
    </x:row>
    <x:row r="7">
      <x:c r="A7" s="13" t="str">
        <x:v>Silver Reed</x:v>
      </x:c>
      <x:c r="B7" s="13" t="str">
        <x:v>Inn</x:v>
      </x:c>
      <x:c r="C7" s="13" t="str">
        <x:v>Yes</x:v>
      </x:c>
      <x:c r="D7" s="13" t="str">
        <x:v>Yes</x:v>
      </x:c>
      <x:c r="E7" s="16" t="str">
        <x:v>https://www.worldanvil.com/w/inner-sea-region-bobzap66/a/silver-reed-landmark</x:v>
      </x:c>
      <x:c r="F7" s="15" t="n">
        <x:v>46267.666666666664</x:v>
      </x:c>
      <x:c r="G7" s="15" t="n">
        <x:f>IF(F7="","",EDATE(F7,12))</x:f>
        <x:v>46632</x:v>
      </x:c>
      <x:c r="H7" s="13" t="str">
        <x:f>IF(D7&lt;&gt;"Yes","N/A",IF(F7="","Date missing",IF(G7&lt;TODAY(),"Review due",IF(G7&lt;=TODAY()+90,"Review soon","Current"))))</x:f>
        <x:v>Current</x:v>
      </x:c>
      <x:c r="I7" s="13" t="str">
        <x:v>Yes</x:v>
      </x:c>
      <x:c r="J7" s="14" t="str">
        <x:v>Settlements\Willowfen\The Silver Reed Article.txt</x:v>
      </x:c>
      <x:c r="K7" s="14" t="str">
        <x:v>Yes</x:v>
      </x:c>
      <x:c r="L7" s="14" t="str">
        <x:v>Settlements\Willowfen\The Silver Reed.png</x:v>
      </x:c>
      <x:c r="M7" s="14" t="str">
        <x:v>Sorn Delvik</x:v>
      </x:c>
      <x:c r="N7" s="14" t="str">
        <x:v>Player-source idea; local expansion</x:v>
      </x:c>
      <x:c r="O7" s="14" t="str">
        <x:v>Inn and social center developed from Velka's travels. World Anvil template: Building / Landmark. Local filename/title variant: The Silver Reed.</x:v>
      </x:c>
    </x:row>
    <x:row r="8">
      <x:c r="A8" s="13" t="str">
        <x:v>Walls</x:v>
      </x:c>
      <x:c r="B8" s="13" t="str">
        <x:v>Fortification</x:v>
      </x:c>
      <x:c r="C8" s="13" t="str">
        <x:v>No</x:v>
      </x:c>
      <x:c r="D8" s="13" t="str">
        <x:v>No</x:v>
      </x:c>
      <x:c r="E8" s="16" t="str"/>
      <x:c r="F8" s="15"/>
      <x:c r="G8" s="15" t="str">
        <x:f>IF(F8="","",EDATE(F8,12))</x:f>
      </x:c>
      <x:c r="H8" s="13" t="str">
        <x:f>IF(D8&lt;&gt;"Yes","N/A",IF(F8="","Date missing",IF(G8&lt;TODAY(),"Review due",IF(G8&lt;=TODAY()+90,"Review soon","Current"))))</x:f>
        <x:v>N/A</x:v>
      </x:c>
      <x:c r="I8" s="13" t="str">
        <x:v>No</x:v>
      </x:c>
      <x:c r="J8" s="14" t="str"/>
      <x:c r="K8" s="14" t="str">
        <x:v>No</x:v>
      </x:c>
      <x:c r="L8" s="14" t="str"/>
      <x:c r="M8" s="14" t="str"/>
      <x:c r="N8" s="14" t="str">
        <x:v>Kingmaker Kingdom Turns — 4713</x:v>
      </x:c>
      <x:c r="O8" s="14" t="str">
        <x:v>Established infrastructure; no dedicated local or World Anvil article identified.</x:v>
      </x:c>
    </x:row>
    <x:row r="9">
      <x:c r="A9" s="13" t="str">
        <x:v>Town hall</x:v>
      </x:c>
      <x:c r="B9" s="13" t="str">
        <x:v>Civic building</x:v>
      </x:c>
      <x:c r="C9" s="13" t="str">
        <x:v>No</x:v>
      </x:c>
      <x:c r="D9" s="13" t="str">
        <x:v>No</x:v>
      </x:c>
      <x:c r="E9" s="16" t="str"/>
      <x:c r="F9" s="15"/>
      <x:c r="G9" s="15" t="str">
        <x:f>IF(F9="","",EDATE(F9,12))</x:f>
      </x:c>
      <x:c r="H9" s="13" t="str">
        <x:f>IF(D9&lt;&gt;"Yes","N/A",IF(F9="","Date missing",IF(G9&lt;TODAY(),"Review due",IF(G9&lt;=TODAY()+90,"Review soon","Current"))))</x:f>
        <x:v>N/A</x:v>
      </x:c>
      <x:c r="I9" s="13" t="str">
        <x:v>No</x:v>
      </x:c>
      <x:c r="J9" s="14" t="str"/>
      <x:c r="K9" s="14" t="str">
        <x:v>No</x:v>
      </x:c>
      <x:c r="L9" s="14" t="str"/>
      <x:c r="M9" s="14" t="str"/>
      <x:c r="N9" s="14" t="str">
        <x:v>Kingmaker Kingdom Turns — 4713; 4714</x:v>
      </x:c>
      <x:c r="O9" s="14" t="str">
        <x:v>Established infrastructure; no dedicated local or World Anvil article identified.</x:v>
      </x:c>
    </x:row>
    <x:row r="10">
      <x:c r="A10" s="13" t="str">
        <x:v>Watchtower</x:v>
      </x:c>
      <x:c r="B10" s="13" t="str">
        <x:v>Fortification</x:v>
      </x:c>
      <x:c r="C10" s="13" t="str">
        <x:v>No</x:v>
      </x:c>
      <x:c r="D10" s="13" t="str">
        <x:v>No</x:v>
      </x:c>
      <x:c r="E10" s="16" t="str"/>
      <x:c r="F10" s="15"/>
      <x:c r="G10" s="15" t="str">
        <x:f>IF(F10="","",EDATE(F10,12))</x:f>
      </x:c>
      <x:c r="H10" s="13" t="str">
        <x:f>IF(D10&lt;&gt;"Yes","N/A",IF(F10="","Date missing",IF(G10&lt;TODAY(),"Review due",IF(G10&lt;=TODAY()+90,"Review soon","Current"))))</x:f>
        <x:v>N/A</x:v>
      </x:c>
      <x:c r="I10" s="13" t="str">
        <x:v>No</x:v>
      </x:c>
      <x:c r="J10" s="14" t="str"/>
      <x:c r="K10" s="14" t="str">
        <x:v>No</x:v>
      </x:c>
      <x:c r="L10" s="14" t="str"/>
      <x:c r="M10" s="14" t="str"/>
      <x:c r="N10" s="14" t="str">
        <x:v>Kingmaker Kingdom Turns — 4714</x:v>
      </x:c>
      <x:c r="O10" s="14" t="str">
        <x:v>Established infrastructure; no dedicated local or World Anvil article identified.</x:v>
      </x:c>
    </x:row>
    <x:row r="11">
      <x:c r="A11" s="13" t="str">
        <x:v>Shrine</x:v>
      </x:c>
      <x:c r="B11" s="13" t="str">
        <x:v>Religious site</x:v>
      </x:c>
      <x:c r="C11" s="13" t="str">
        <x:v>No</x:v>
      </x:c>
      <x:c r="D11" s="13" t="str">
        <x:v>No</x:v>
      </x:c>
      <x:c r="E11" s="16" t="str"/>
      <x:c r="F11" s="15"/>
      <x:c r="G11" s="15" t="str">
        <x:f>IF(F11="","",EDATE(F11,12))</x:f>
      </x:c>
      <x:c r="H11" s="13" t="str">
        <x:f>IF(D11&lt;&gt;"Yes","N/A",IF(F11="","Date missing",IF(G11&lt;TODAY(),"Review due",IF(G11&lt;=TODAY()+90,"Review soon","Current"))))</x:f>
        <x:v>N/A</x:v>
      </x:c>
      <x:c r="I11" s="13" t="str">
        <x:v>No</x:v>
      </x:c>
      <x:c r="J11" s="14" t="str"/>
      <x:c r="K11" s="14" t="str">
        <x:v>No</x:v>
      </x:c>
      <x:c r="L11" s="14" t="str"/>
      <x:c r="M11" s="14" t="str"/>
      <x:c r="N11" s="14" t="str">
        <x:v>Kingmaker Kingdom Turns — 4714</x:v>
      </x:c>
      <x:c r="O11" s="14" t="str">
        <x:v>Established infrastructure; no dedicated local or World Anvil article identified.</x:v>
      </x:c>
    </x:row>
    <x:row r="12">
      <x:c r="A12" s="13" t="str">
        <x:v>Park</x:v>
      </x:c>
      <x:c r="B12" s="13" t="str">
        <x:v>Park</x:v>
      </x:c>
      <x:c r="C12" s="13" t="str">
        <x:v>No</x:v>
      </x:c>
      <x:c r="D12" s="13" t="str">
        <x:v>No</x:v>
      </x:c>
      <x:c r="E12" s="16" t="str"/>
      <x:c r="F12" s="15"/>
      <x:c r="G12" s="15" t="str">
        <x:f>IF(F12="","",EDATE(F12,12))</x:f>
      </x:c>
      <x:c r="H12" s="13" t="str">
        <x:f>IF(D12&lt;&gt;"Yes","N/A",IF(F12="","Date missing",IF(G12&lt;TODAY(),"Review due",IF(G12&lt;=TODAY()+90,"Review soon","Current"))))</x:f>
        <x:v>N/A</x:v>
      </x:c>
      <x:c r="I12" s="13" t="str">
        <x:v>No</x:v>
      </x:c>
      <x:c r="J12" s="14" t="str"/>
      <x:c r="K12" s="14" t="str">
        <x:v>No</x:v>
      </x:c>
      <x:c r="L12" s="14" t="str"/>
      <x:c r="M12" s="14" t="str"/>
      <x:c r="N12" s="14" t="str">
        <x:v>Kingmaker Kingdom Turns — 4714</x:v>
      </x:c>
      <x:c r="O12" s="14" t="str">
        <x:v>Established infrastructure; no dedicated local or World Anvil article identified.</x:v>
      </x:c>
    </x:row>
  </x:sheetData>
  <x:mergeCells>
    <x:mergeCell ref="A1:O1"/>
    <x:mergeCell ref="A2:O2"/>
  </x:mergeCells>
  <x:conditionalFormatting sqref="H5:H12">
    <x:cfRule type="containsText" dxfId="69" priority="1" operator="containsText" text="Review due"/>
    <x:cfRule type="containsText" dxfId="70" priority="2" operator="containsText" text="Review soon"/>
    <x:cfRule type="containsText" dxfId="71" priority="3" operator="containsText" text="Date missing"/>
  </x:conditionalFormatting>
  <x:conditionalFormatting sqref="D5:D12">
    <x:cfRule type="containsText" dxfId="72" priority="4" operator="containsText" text="No"/>
  </x:conditionalFormatting>
  <x:conditionalFormatting sqref="K5:K12">
    <x:cfRule type="containsText" dxfId="73" priority="5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8dde2e9c3c91466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0" hidden="0" customWidth="1"/>
    <x:col min="4" max="4" width="20" hidden="0" customWidth="1"/>
    <x:col min="5" max="5" width="5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1" hidden="0" customWidth="1"/>
    <x:col min="12" max="12" width="42" hidden="0" customWidth="1"/>
    <x:col min="13" max="13" width="42" hidden="0" customWidth="1"/>
    <x:col min="14" max="14" width="32" hidden="0" customWidth="1"/>
    <x:col min="15" max="15" width="58" hidden="0" customWidth="1"/>
  </x:cols>
  <x:sheetData>
    <x:row r="1" ht="30" customHeight="1">
      <x:c r="A1" s="4" t="str">
        <x:v>OTHER KINGMAKER LOCATIONS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Geographic places that are not tracked as settlements. Add future wilderness sites, ruins, roads, waterways, and regions here.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>
      <x:c r="A4" s="11" t="str">
        <x:v>Location / Feature</x:v>
      </x:c>
      <x:c r="B4" s="11" t="str">
        <x:v>Type</x:v>
      </x:c>
      <x:c r="C4" s="11" t="str">
        <x:v>Named?</x:v>
      </x:c>
      <x:c r="D4" s="11" t="str">
        <x:v>Dedicated WA Article?</x:v>
      </x:c>
      <x:c r="E4" s="11" t="str">
        <x:v>WA URL</x:v>
      </x:c>
      <x:c r="F4" s="11" t="str">
        <x:v>WA Last Updated</x:v>
      </x:c>
      <x:c r="G4" s="11" t="str">
        <x:v>Next Review Due</x:v>
      </x:c>
      <x:c r="H4" s="11" t="str">
        <x:v>Review Status</x:v>
      </x:c>
      <x:c r="I4" s="11" t="str">
        <x:v>Local Article?</x:v>
      </x:c>
      <x:c r="J4" s="11" t="str">
        <x:v>Local Article File</x:v>
      </x:c>
      <x:c r="K4" s="11" t="str">
        <x:v>Artwork?</x:v>
      </x:c>
      <x:c r="L4" s="11" t="str">
        <x:v>Artwork File</x:v>
      </x:c>
      <x:c r="M4" s="11" t="str">
        <x:v>Key NPCs</x:v>
      </x:c>
      <x:c r="N4" s="11" t="str">
        <x:v>Source</x:v>
      </x:c>
      <x:c r="O4" s="11" t="str">
        <x:v>Notes</x:v>
      </x:c>
    </x:row>
    <x:row r="5">
      <x:c r="A5" t="str">
        <x:v>Lake Candlemere</x:v>
      </x:c>
      <x:c r="B5" t="str">
        <x:v>Lake and island region</x:v>
      </x:c>
      <x:c r="C5" t="str">
        <x:v>Yes</x:v>
      </x:c>
      <x:c r="D5" t="str">
        <x:v>Yes</x:v>
      </x:c>
      <x:c r="E5" s="17" t="str">
        <x:v>https://www.worldanvil.com/w/inner-sea-region-bobzap66/a/lake-candlemere-location</x:v>
      </x:c>
      <x:c r="F5" s="18"/>
      <x:c r="G5" s="18" t="str">
        <x:f>IF(F5="","",EDATE(F5,12))</x:f>
      </x:c>
      <x:c r="H5" t="str">
        <x:f>IF(D5&lt;&gt;"Yes","N/A",IF(F5="","Date missing",IF(G5&lt;TODAY(),"Review due",IF(G5&lt;=TODAY()+90,"Review soon","Current"))))</x:f>
        <x:v>Date missing</x:v>
      </x:c>
      <x:c r="I5" t="str">
        <x:v>Yes</x:v>
      </x:c>
      <x:c r="J5" s="19" t="str">
        <x:v>Locations\Candlemere\Lake Candlemere Article.txt</x:v>
      </x:c>
      <x:c r="K5" s="19" t="str">
        <x:v>No</x:v>
      </x:c>
      <x:c r="L5" s="19" t="str"/>
      <x:c r="M5" s="19" t="str">
        <x:v>Arven; Old Crackjaw</x:v>
      </x:c>
      <x:c r="N5" s="19" t="str">
        <x:v>World Anvil and local continuity article</x:v>
      </x:c>
      <x:c r="O5" s="19" t="str">
        <x:v>Public URL follows the established World Anvil slug pattern; last-updated date still needs capture.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7043b51d98c44b5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3" hidden="0" customWidth="1"/>
    <x:col min="4" max="4" width="18" hidden="0" customWidth="1"/>
    <x:col min="5" max="5" width="18" hidden="0" customWidth="1"/>
    <x:col min="6" max="6" width="56" hidden="0" customWidth="1"/>
  </x:cols>
  <x:sheetData>
    <x:row r="1" ht="30" customHeight="1">
      <x:c r="A1" s="23" t="str">
        <x:v>LOCATION REFERENCE — SUMMARY &amp; LEGEND</x:v>
      </x:c>
      <x:c r="B1" s="23"/>
      <x:c r="C1" s="23"/>
      <x:c r="D1" s="23"/>
      <x:c r="E1" s="23"/>
      <x:c r="F1" s="23"/>
    </x:row>
    <x:row r="2" ht="38" customHeight="1">
      <x:c r="A2" s="24" t="str">
        <x:v>Maintenance dashboard and source notes for the settlement and location register.</x:v>
      </x:c>
      <x:c r="B2" s="24"/>
      <x:c r="C2" s="24"/>
      <x:c r="D2" s="24"/>
      <x:c r="E2" s="24"/>
      <x:c r="F2" s="24"/>
    </x:row>
    <x:row r="3">
      <x:c r="A3" s="13"/>
      <x:c r="B3" s="13"/>
      <x:c r="C3" s="13"/>
      <x:c r="D3" s="13"/>
      <x:c r="E3" s="13"/>
      <x:c r="F3" s="13"/>
    </x:row>
    <x:row r="4">
      <x:c r="A4" s="25" t="str">
        <x:v>Metric</x:v>
      </x:c>
      <x:c r="B4" s="25" t="str">
        <x:v>Count</x:v>
      </x:c>
      <x:c r="C4" s="13"/>
      <x:c r="D4" s="25" t="str">
        <x:v>Field</x:v>
      </x:c>
      <x:c r="E4" s="25" t="str">
        <x:v>Value</x:v>
      </x:c>
      <x:c r="F4" s="25" t="str">
        <x:v>Meaning</x:v>
      </x:c>
    </x:row>
    <x:row r="5">
      <x:c r="A5" s="26" t="str">
        <x:v>Settlements tracked</x:v>
      </x:c>
      <x:c r="B5" s="26" t="n">
        <x:f>COUNTA('Settlement Index'!$A$5:$A$18)</x:f>
        <x:v>14</x:v>
      </x:c>
      <x:c r="C5" s="13"/>
      <x:c r="D5" s="26" t="str">
        <x:v>Named?</x:v>
      </x:c>
      <x:c r="E5" s="26" t="str">
        <x:v>Yes</x:v>
      </x:c>
      <x:c r="F5" s="26" t="str">
        <x:v>A proper-named settlement, business, institution, or site.</x:v>
      </x:c>
    </x:row>
    <x:row r="6">
      <x:c r="A6" s="26" t="str">
        <x:v>Named location records</x:v>
      </x:c>
      <x:c r="B6" s="26" t="n">
        <x:f>SUM('Settlement Index'!$M$5:$M$18)-COUNTA('Settlement Index'!$A$5:$A$18)</x:f>
        <x:v>18</x:v>
      </x:c>
      <x:c r="C6" s="13"/>
      <x:c r="D6" s="26" t="str">
        <x:v>Named?</x:v>
      </x:c>
      <x:c r="E6" s="26" t="str">
        <x:v>No</x:v>
      </x:c>
      <x:c r="F6" s="26" t="str">
        <x:v>Generic infrastructure attested in kingdom-turn records; not automatically a dedicated article.</x:v>
      </x:c>
    </x:row>
    <x:row r="7">
      <x:c r="A7" s="26" t="str">
        <x:v>Named locations with WA articles</x:v>
      </x:c>
      <x:c r="B7" s="26" t="n">
        <x:f>COUNTIFS('Embeth Hall'!$C$5:$C$200,"Yes",'Embeth Hall'!$D$5:$D$200,"Yes")+COUNTIFS('Fort Drelev'!$C$5:$C$200,"Yes",'Fort Drelev'!$D$5:$D$200,"Yes")+COUNTIFS('Fort Serenko'!$C$5:$C$200,"Yes",'Fort Serenko'!$D$5:$D$200,"Yes")+COUNTIFS('Fort Tuskwater'!$C$5:$C$200,"Yes",'Fort Tuskwater'!$D$5:$D$200,"Yes")+COUNTIFS('Greengripe'!$C$5:$C$200,"Yes",'Greengripe'!$D$5:$D$200,"Yes")+COUNTIFS('Longtail Island'!$C$5:$C$200,"Yes",'Longtail Island'!$D$5:$D$200,"Yes")+COUNTIFS('Olegton'!$C$5:$C$200,"Yes",'Olegton'!$D$5:$D$200,"Yes")+COUNTIFS('Pitax'!$C$5:$C$200,"Yes",'Pitax'!$D$5:$D$200,"Yes")+COUNTIFS('Sootscale Valley'!$C$5:$C$200,"Yes",'Sootscale Valley'!$D$5:$D$200,"Yes")+COUNTIFS('Tatzlford'!$C$5:$C$200,"Yes",'Tatzlford'!$D$5:$D$200,"Yes")+COUNTIFS('Thumpington'!$C$5:$C$200,"Yes",'Thumpington'!$D$5:$D$200,"Yes")+COUNTIFS('Tok-Nikrat'!$C$5:$C$200,"Yes",'Tok-Nikrat'!$D$5:$D$200,"Yes")+COUNTIFS('Varnhold'!$C$5:$C$200,"Yes",'Varnhold'!$D$5:$D$200,"Yes")+COUNTIFS('Willowfen'!$C$5:$C$200,"Yes",'Willowfen'!$D$5:$D$200,"Yes")-14</x:f>
        <x:v>17</x:v>
      </x:c>
      <x:c r="C7" s="13"/>
      <x:c r="D7" s="26" t="str">
        <x:v>Review Status</x:v>
      </x:c>
      <x:c r="E7" s="26" t="str">
        <x:v>Review soon</x:v>
      </x:c>
      <x:c r="F7" s="26" t="str">
        <x:v>Annual review date falls within 90 days.</x:v>
      </x:c>
    </x:row>
    <x:row r="8">
      <x:c r="A8" s="26" t="str">
        <x:v>Named locations without WA articles</x:v>
      </x:c>
      <x:c r="B8" s="26" t="n">
        <x:f>COUNTIFS('Embeth Hall'!$C$5:$C$200,"Yes",'Embeth Hall'!$D$5:$D$200,"No")+COUNTIFS('Fort Drelev'!$C$5:$C$200,"Yes",'Fort Drelev'!$D$5:$D$200,"No")+COUNTIFS('Fort Serenko'!$C$5:$C$200,"Yes",'Fort Serenko'!$D$5:$D$200,"No")+COUNTIFS('Fort Tuskwater'!$C$5:$C$200,"Yes",'Fort Tuskwater'!$D$5:$D$200,"No")+COUNTIFS('Greengripe'!$C$5:$C$200,"Yes",'Greengripe'!$D$5:$D$200,"No")+COUNTIFS('Longtail Island'!$C$5:$C$200,"Yes",'Longtail Island'!$D$5:$D$200,"No")+COUNTIFS('Olegton'!$C$5:$C$200,"Yes",'Olegton'!$D$5:$D$200,"No")+COUNTIFS('Pitax'!$C$5:$C$200,"Yes",'Pitax'!$D$5:$D$200,"No")+COUNTIFS('Sootscale Valley'!$C$5:$C$200,"Yes",'Sootscale Valley'!$D$5:$D$200,"No")+COUNTIFS('Tatzlford'!$C$5:$C$200,"Yes",'Tatzlford'!$D$5:$D$200,"No")+COUNTIFS('Thumpington'!$C$5:$C$200,"Yes",'Thumpington'!$D$5:$D$200,"No")+COUNTIFS('Tok-Nikrat'!$C$5:$C$200,"Yes",'Tok-Nikrat'!$D$5:$D$200,"No")+COUNTIFS('Varnhold'!$C$5:$C$200,"Yes",'Varnhold'!$D$5:$D$200,"No")+COUNTIFS('Willowfen'!$C$5:$C$200,"Yes",'Willowfen'!$D$5:$D$200,"No")</x:f>
        <x:v>1</x:v>
      </x:c>
      <x:c r="C8" s="13"/>
      <x:c r="D8" s="26" t="str">
        <x:v>Review Status</x:v>
      </x:c>
      <x:c r="E8" s="26" t="str">
        <x:v>Review due</x:v>
      </x:c>
      <x:c r="F8" s="26" t="str">
        <x:v>Annual review date has passed.</x:v>
      </x:c>
    </x:row>
    <x:row r="9">
      <x:c r="A9" s="26" t="str">
        <x:v>Local settlement articles</x:v>
      </x:c>
      <x:c r="B9" s="26" t="n">
        <x:f>COUNTIF('Settlement Index'!$I$5:$I$18,"Yes")</x:f>
        <x:v>3</x:v>
      </x:c>
      <x:c r="C9" s="13"/>
      <x:c r="D9" s="27" t="str">
        <x:v>Review Status</x:v>
      </x:c>
      <x:c r="E9" s="27" t="str">
        <x:v>Date missing</x:v>
      </x:c>
      <x:c r="F9" s="27" t="str">
        <x:v>World Anvil article exists but its update date has not yet been captured.</x:v>
      </x:c>
    </x:row>
    <x:row r="10">
      <x:c r="A10" s="26" t="str">
        <x:v>Settlement articles needing review</x:v>
      </x:c>
      <x:c r="B10" s="26" t="n">
        <x:f>COUNTIF('Settlement Index'!$H$5:$H$18,"Review due")</x:f>
        <x:v>0</x:v>
      </x:c>
      <x:c r="C10" s="13"/>
      <x:c r="D10" s="13"/>
      <x:c r="E10" s="13"/>
      <x:c r="F10" s="13"/>
    </x:row>
    <x:row r="11">
      <x:c r="A11" s="26" t="str">
        <x:v>Settlement articles nearing review</x:v>
      </x:c>
      <x:c r="B11" s="26" t="n">
        <x:f>COUNTIF('Settlement Index'!$H$5:$H$18,"Review soon")</x:f>
        <x:v>1</x:v>
      </x:c>
      <x:c r="C11" s="13"/>
      <x:c r="D11" s="13"/>
      <x:c r="E11" s="13"/>
      <x:c r="F11" s="13"/>
    </x:row>
    <x:row r="12">
      <x:c r="A12" s="27" t="str">
        <x:v>Settlement dates missing</x:v>
      </x:c>
      <x:c r="B12" s="27" t="n">
        <x:f>COUNTIF('Settlement Index'!$H$5:$H$18,"Date missing")</x:f>
        <x:v>1</x:v>
      </x:c>
      <x:c r="C12" s="13"/>
      <x:c r="D12" s="13"/>
      <x:c r="E12" s="13"/>
      <x:c r="F12" s="13"/>
    </x:row>
    <x:row r="13">
      <x:c r="A13" s="13"/>
      <x:c r="B13" s="13"/>
      <x:c r="C13" s="13"/>
      <x:c r="D13" s="13"/>
      <x:c r="E13" s="13"/>
      <x:c r="F13" s="13"/>
    </x:row>
    <x:row r="14">
      <x:c r="A14" s="28" t="str">
        <x:v>SOURCES AND WORKFLOW</x:v>
      </x:c>
      <x:c r="B14" s="28"/>
      <x:c r="C14" s="28"/>
      <x:c r="D14" s="28"/>
      <x:c r="E14" s="28"/>
      <x:c r="F14" s="28"/>
    </x:row>
    <x:row r="15" ht="15" hidden="0" customHeight="1">
      <x:c r="A15" s="14" t="str">
        <x:v>Last reviewed</x:v>
      </x:c>
      <x:c r="B15" s="14" t="str">
        <x:v>2026-09-02</x:v>
      </x:c>
      <x:c r="C15" s="14" t="str"/>
      <x:c r="D15" s="14" t="str"/>
      <x:c r="E15" s="14" t="str"/>
      <x:c r="F15" s="14" t="str"/>
    </x:row>
    <x:row r="16" ht="26.399999618530273" hidden="0" customHeight="1">
      <x:c r="A16" s="14" t="str">
        <x:v>World Anvil</x:v>
      </x:c>
      <x:c r="B16" s="14" t="str">
        <x:v>Inner Sea Region settlement and organization articles; public article URLs and last-updated dates where verified.</x:v>
      </x:c>
      <x:c r="C16" s="14" t="str"/>
      <x:c r="D16" s="14" t="str"/>
      <x:c r="E16" s="14" t="str"/>
      <x:c r="F16" s="14" t="str"/>
    </x:row>
    <x:row r="17" ht="15" hidden="0" customHeight="1">
      <x:c r="A17" s="14" t="str">
        <x:v>Local files</x:v>
      </x:c>
      <x:c r="B17" s="14" t="str">
        <x:v>Dropbox\RPGs\Paizo\PF2e\01 - Active Games\Kingmaker\Players\World Anvil</x:v>
      </x:c>
      <x:c r="C17" s="14" t="str"/>
      <x:c r="D17" s="14" t="str"/>
      <x:c r="E17" s="14" t="str"/>
      <x:c r="F17" s="14" t="str"/>
    </x:row>
    <x:row r="18" ht="26.399999618530273" hidden="0" customHeight="1">
      <x:c r="A18" s="14" t="str">
        <x:v>Kingmaker sheet</x:v>
      </x:c>
      <x:c r="B18" s="14" t="str">
        <x:v>https://docs.google.com/spreadsheets/d/1Bffa_ner1GqJ99uoYbZExjmd2TMwIZu7PrImwcNY7Ak/edit?usp=sharing</x:v>
      </x:c>
      <x:c r="C18" s="14" t="str"/>
      <x:c r="D18" s="14" t="str"/>
      <x:c r="E18" s="14" t="str"/>
      <x:c r="F18" s="14" t="str"/>
    </x:row>
    <x:row r="19" ht="26.399999618530273" hidden="0" customHeight="1">
      <x:c r="A19" s="14" t="str">
        <x:v>Kingdom-turn archive</x:v>
      </x:c>
      <x:c r="B19" s="14" t="str">
        <x:v>https://docs.google.com/spreadsheets/d/11PYFHAsOGvyXpsvswfxvXsVJhIKjGGhFDpthyHSd6h4/edit?usp=sharing</x:v>
      </x:c>
      <x:c r="C19" s="14" t="str"/>
      <x:c r="D19" s="14" t="str"/>
      <x:c r="E19" s="14" t="str"/>
      <x:c r="F19" s="14" t="str"/>
    </x:row>
    <x:row r="20" ht="26.399999618530273" hidden="0" customHeight="1">
      <x:c r="A20" s="14" t="str">
        <x:v>Current kingdom sheet (History through 4713)</x:v>
      </x:c>
      <x:c r="B20" s="14" t="str">
        <x:v>https://docs.google.com/spreadsheets/d/1Xp2NBPaMztPDL3_1FG4mnI3OZgOEs0bYkDaxVSUk2fw/edit?usp=sharing</x:v>
      </x:c>
      <x:c r="C20" s="14" t="str"/>
      <x:c r="D20" s="14" t="str"/>
      <x:c r="E20" s="14" t="str"/>
      <x:c r="F20" s="14" t="str"/>
    </x:row>
    <x:row r="21" ht="26.399999618530273" hidden="0" customHeight="1">
      <x:c r="A21" s="14" t="str">
        <x:v>Update practice</x:v>
      </x:c>
      <x:c r="B21" s="14" t="str">
        <x:v>When creating or revising a place, update its settlement tab, article/art flags, source, World Anvil date, and notes.</x:v>
      </x:c>
      <x:c r="C21" s="14" t="str"/>
      <x:c r="D21" s="14" t="str"/>
      <x:c r="E21" s="14" t="str"/>
      <x:c r="F21" s="14" t="str"/>
    </x:row>
    <x:row r="22" ht="26.399999618530273" hidden="0" customHeight="1">
      <x:c r="A22" s="14" t="str">
        <x:v>Continuity priority</x:v>
      </x:c>
      <x:c r="B22" s="14" t="str">
        <x:v>Fort Drelev's World Anvil article still reflects the former barony and should be rewritten for the post-liberation situation.</x:v>
      </x:c>
      <x:c r="C22" s="14" t="str"/>
      <x:c r="D22" s="14" t="str"/>
      <x:c r="E22" s="14" t="str"/>
      <x:c r="F22" s="14" t="str"/>
    </x:row>
    <x:row r="23" ht="26.399999618530273" hidden="0" customHeight="1">
      <x:c r="A23" s="14" t="str">
        <x:v>Coverage rule</x:v>
      </x:c>
      <x:c r="B23" s="14" t="str">
        <x:v>A kingdom-turn building is evidence of infrastructure, not automatically evidence of a proper name or dedicated article.</x:v>
      </x:c>
      <x:c r="C23" s="14" t="str"/>
      <x:c r="D23" s="14" t="str"/>
      <x:c r="E23" s="14" t="str"/>
      <x:c r="F23" s="14" t="str"/>
    </x:row>
  </x:sheetData>
  <x:mergeCells>
    <x:mergeCell ref="A1:F1"/>
    <x:mergeCell ref="A2:F2"/>
    <x:mergeCell ref="A14:F14"/>
  </x:mergeCells>
  <x:pageMargins left="0.7" right="0.7" top="0.75" bottom="0.75" header="0.3" footer="0.3"/>
</x:worksheet>
</file>